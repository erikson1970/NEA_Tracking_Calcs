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if/Documents/sinkt/SourceCode/Python/Space_and_Astronomy/NEA_Tracking_Calcs/hardware/antennaSidelobe/"/>
    </mc:Choice>
  </mc:AlternateContent>
  <xr:revisionPtr revIDLastSave="0" documentId="13_ncr:1_{FB3A49DA-5850-7F4F-AB78-72D459DF1262}" xr6:coauthVersionLast="47" xr6:coauthVersionMax="47" xr10:uidLastSave="{00000000-0000-0000-0000-000000000000}"/>
  <bookViews>
    <workbookView xWindow="2840" yWindow="6160" windowWidth="31720" windowHeight="13780" xr2:uid="{DAC59388-E63E-40F0-BBF2-4033B9007AA5}"/>
  </bookViews>
  <sheets>
    <sheet name="Sheet1" sheetId="1" r:id="rId1"/>
  </sheets>
  <definedNames>
    <definedName name="_xlpm.a" hidden="1" xlm="1">#NAME?</definedName>
    <definedName name="_xlpm.b" hidden="1" xlm="1">#NAME?</definedName>
    <definedName name="_xlpm.c" hidden="1" xlm="1">#NAME?</definedName>
    <definedName name="_xlpm.sigma" hidden="1" xlm="1">#NAME?</definedName>
    <definedName name="_xlpm.temp" hidden="1" xlm="1">#NAME?</definedName>
    <definedName name="_xlpm.x" hidden="1" xlm="1">#NAME?</definedName>
    <definedName name="sinc">_xlfn.LAMBDA(_xlpm.x,IF(_xlpm.x&lt;&gt;0,SIN(_xlpm.x)/_xlpm.x,1))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" i="1" l="1"/>
  <c r="Y3" i="1"/>
  <c r="W3" i="1"/>
  <c r="U3" i="1"/>
  <c r="V3" i="1"/>
  <c r="T3" i="1"/>
  <c r="H1" i="1" a="1"/>
  <c r="H1" i="1" s="1"/>
  <c r="A4" i="1" s="1"/>
  <c r="D4" i="1" a="1"/>
  <c r="D4" i="1" s="1"/>
  <c r="E4" i="1" s="1"/>
  <c r="C5" i="1" l="1"/>
  <c r="D5" i="1" s="1" a="1"/>
  <c r="D5" i="1" s="1"/>
  <c r="E5" i="1" s="1"/>
  <c r="F5" i="1" s="1"/>
  <c r="C6" i="1" l="1"/>
  <c r="D6" i="1" s="1" a="1"/>
  <c r="D6" i="1" s="1"/>
  <c r="E6" i="1" s="1"/>
  <c r="F6" i="1" s="1"/>
  <c r="C7" i="1" l="1"/>
  <c r="C8" i="1" s="1"/>
  <c r="D7" i="1" l="1" a="1"/>
  <c r="D7" i="1" s="1"/>
  <c r="E7" i="1" s="1"/>
  <c r="F7" i="1" s="1"/>
  <c r="D8" i="1" a="1"/>
  <c r="D8" i="1" s="1"/>
  <c r="E8" i="1" s="1"/>
  <c r="C9" i="1"/>
  <c r="F8" i="1" l="1"/>
  <c r="D9" i="1" a="1"/>
  <c r="D9" i="1" s="1"/>
  <c r="E9" i="1" s="1"/>
  <c r="F9" i="1" s="1"/>
  <c r="C10" i="1"/>
  <c r="D10" i="1" l="1" a="1"/>
  <c r="D10" i="1" s="1"/>
  <c r="E10" i="1" s="1"/>
  <c r="F10" i="1" s="1"/>
  <c r="C11" i="1"/>
  <c r="D11" i="1" l="1" a="1"/>
  <c r="D11" i="1" s="1"/>
  <c r="E11" i="1" s="1"/>
  <c r="F11" i="1" s="1"/>
  <c r="C12" i="1"/>
  <c r="D12" i="1" l="1" a="1"/>
  <c r="D12" i="1" s="1"/>
  <c r="E12" i="1" s="1"/>
  <c r="F12" i="1" s="1"/>
  <c r="C13" i="1"/>
  <c r="D13" i="1" l="1" a="1"/>
  <c r="D13" i="1" s="1"/>
  <c r="E13" i="1" s="1"/>
  <c r="F13" i="1" s="1"/>
  <c r="C14" i="1"/>
  <c r="D14" i="1" l="1" a="1"/>
  <c r="D14" i="1" s="1"/>
  <c r="E14" i="1" s="1"/>
  <c r="F14" i="1" s="1"/>
  <c r="C15" i="1"/>
  <c r="C16" i="1" s="1"/>
  <c r="D16" i="1" l="1" a="1"/>
  <c r="D16" i="1" s="1"/>
  <c r="E16" i="1" s="1"/>
  <c r="D15" i="1" a="1"/>
  <c r="D15" i="1" s="1"/>
  <c r="E15" i="1" s="1"/>
  <c r="F15" i="1" s="1"/>
  <c r="C17" i="1"/>
  <c r="F16" i="1" l="1"/>
  <c r="D17" i="1" a="1"/>
  <c r="D17" i="1" s="1"/>
  <c r="E17" i="1" s="1"/>
  <c r="F17" i="1" s="1"/>
  <c r="C18" i="1"/>
  <c r="D18" i="1" l="1" a="1"/>
  <c r="D18" i="1" s="1"/>
  <c r="E18" i="1" s="1"/>
  <c r="F18" i="1" s="1"/>
  <c r="C19" i="1"/>
  <c r="D19" i="1" l="1" a="1"/>
  <c r="D19" i="1" s="1"/>
  <c r="E19" i="1" s="1"/>
  <c r="F19" i="1" s="1"/>
  <c r="C20" i="1"/>
  <c r="D20" i="1" l="1" a="1"/>
  <c r="D20" i="1" s="1"/>
  <c r="E20" i="1" s="1"/>
  <c r="F20" i="1" s="1"/>
  <c r="C21" i="1"/>
  <c r="D21" i="1" l="1" a="1"/>
  <c r="D21" i="1" s="1"/>
  <c r="E21" i="1" s="1"/>
  <c r="F21" i="1" s="1"/>
  <c r="C22" i="1"/>
  <c r="D22" i="1" l="1" a="1"/>
  <c r="D22" i="1" s="1"/>
  <c r="E22" i="1" s="1"/>
  <c r="F22" i="1" s="1"/>
  <c r="C23" i="1"/>
  <c r="D23" i="1" l="1" a="1"/>
  <c r="D23" i="1" s="1"/>
  <c r="E23" i="1" s="1"/>
  <c r="F23" i="1" s="1"/>
  <c r="C24" i="1"/>
  <c r="D24" i="1" l="1" a="1"/>
  <c r="D24" i="1" s="1"/>
  <c r="E24" i="1" s="1"/>
  <c r="F24" i="1" s="1"/>
  <c r="C25" i="1"/>
  <c r="D25" i="1" l="1" a="1"/>
  <c r="D25" i="1" s="1"/>
  <c r="E25" i="1" s="1"/>
  <c r="F25" i="1" s="1"/>
  <c r="C26" i="1"/>
  <c r="D26" i="1" l="1" a="1"/>
  <c r="D26" i="1" s="1"/>
  <c r="E26" i="1" s="1"/>
  <c r="F26" i="1" s="1"/>
  <c r="C27" i="1"/>
  <c r="D27" i="1" l="1" a="1"/>
  <c r="D27" i="1" s="1"/>
  <c r="E27" i="1" s="1"/>
  <c r="F27" i="1" s="1"/>
  <c r="C28" i="1"/>
  <c r="D28" i="1" l="1" a="1"/>
  <c r="D28" i="1" s="1"/>
  <c r="E28" i="1" s="1"/>
  <c r="F28" i="1" s="1"/>
  <c r="C29" i="1"/>
  <c r="D29" i="1" l="1" a="1"/>
  <c r="D29" i="1" s="1"/>
  <c r="E29" i="1" s="1"/>
  <c r="F29" i="1" s="1"/>
  <c r="C30" i="1"/>
  <c r="D30" i="1" l="1" a="1"/>
  <c r="D30" i="1" s="1"/>
  <c r="E30" i="1" s="1"/>
  <c r="F30" i="1" s="1"/>
  <c r="C31" i="1"/>
  <c r="D31" i="1" l="1" a="1"/>
  <c r="D31" i="1" s="1"/>
  <c r="E31" i="1" s="1"/>
  <c r="F31" i="1" s="1"/>
  <c r="C32" i="1"/>
  <c r="D32" i="1" l="1" a="1"/>
  <c r="D32" i="1" s="1"/>
  <c r="E32" i="1" s="1"/>
  <c r="F32" i="1" s="1"/>
  <c r="C33" i="1"/>
  <c r="D33" i="1" l="1" a="1"/>
  <c r="D33" i="1" s="1"/>
  <c r="E33" i="1" s="1"/>
  <c r="F33" i="1" s="1"/>
  <c r="C34" i="1"/>
  <c r="D34" i="1" l="1" a="1"/>
  <c r="D34" i="1" s="1"/>
  <c r="E34" i="1" s="1"/>
  <c r="F34" i="1" s="1"/>
  <c r="C35" i="1"/>
  <c r="D35" i="1" l="1" a="1"/>
  <c r="D35" i="1" s="1"/>
  <c r="E35" i="1" s="1"/>
  <c r="F35" i="1" s="1"/>
  <c r="C36" i="1"/>
  <c r="D36" i="1" l="1" a="1"/>
  <c r="D36" i="1" s="1"/>
  <c r="E36" i="1" s="1"/>
  <c r="F36" i="1" s="1"/>
  <c r="C37" i="1"/>
  <c r="D37" i="1" l="1" a="1"/>
  <c r="D37" i="1" s="1"/>
  <c r="E37" i="1" s="1"/>
  <c r="F37" i="1" s="1"/>
  <c r="C38" i="1"/>
  <c r="D38" i="1" l="1" a="1"/>
  <c r="D38" i="1" s="1"/>
  <c r="E38" i="1" s="1"/>
  <c r="F38" i="1" s="1"/>
  <c r="C39" i="1"/>
  <c r="D39" i="1" l="1" a="1"/>
  <c r="D39" i="1" s="1"/>
  <c r="E39" i="1" s="1"/>
  <c r="F39" i="1" s="1"/>
  <c r="C40" i="1"/>
  <c r="D40" i="1" l="1" a="1"/>
  <c r="D40" i="1" s="1"/>
  <c r="E40" i="1" s="1"/>
  <c r="F40" i="1" s="1"/>
  <c r="C41" i="1"/>
  <c r="D41" i="1" l="1" a="1"/>
  <c r="D41" i="1" s="1"/>
  <c r="E41" i="1" s="1"/>
  <c r="F41" i="1" s="1"/>
  <c r="C42" i="1"/>
  <c r="D42" i="1" l="1" a="1"/>
  <c r="D42" i="1" s="1"/>
  <c r="E42" i="1" s="1"/>
  <c r="F42" i="1" s="1"/>
  <c r="C43" i="1"/>
  <c r="D43" i="1" l="1" a="1"/>
  <c r="D43" i="1" s="1"/>
  <c r="E43" i="1" s="1"/>
  <c r="F43" i="1" s="1"/>
  <c r="C44" i="1"/>
  <c r="D44" i="1" l="1" a="1"/>
  <c r="D44" i="1" s="1"/>
  <c r="E44" i="1" s="1"/>
  <c r="F44" i="1" s="1"/>
  <c r="C45" i="1"/>
  <c r="D45" i="1" l="1" a="1"/>
  <c r="D45" i="1" s="1"/>
  <c r="E45" i="1" s="1"/>
  <c r="F45" i="1" s="1"/>
  <c r="C46" i="1"/>
  <c r="D46" i="1" l="1" a="1"/>
  <c r="D46" i="1" s="1"/>
  <c r="E46" i="1" s="1"/>
  <c r="F46" i="1" s="1"/>
  <c r="C47" i="1"/>
  <c r="D47" i="1" l="1" a="1"/>
  <c r="D47" i="1" s="1"/>
  <c r="E47" i="1" s="1"/>
  <c r="F47" i="1" s="1"/>
  <c r="C48" i="1"/>
  <c r="D48" i="1" l="1" a="1"/>
  <c r="D48" i="1" s="1"/>
  <c r="E48" i="1" s="1"/>
  <c r="F48" i="1" s="1"/>
  <c r="C49" i="1"/>
  <c r="D49" i="1" l="1" a="1"/>
  <c r="D49" i="1" s="1"/>
  <c r="E49" i="1" s="1"/>
  <c r="F49" i="1" s="1"/>
  <c r="C50" i="1"/>
  <c r="D50" i="1" l="1" a="1"/>
  <c r="D50" i="1" s="1"/>
  <c r="E50" i="1" s="1"/>
  <c r="F50" i="1" s="1"/>
  <c r="C51" i="1"/>
  <c r="D51" i="1" l="1" a="1"/>
  <c r="D51" i="1" s="1"/>
  <c r="E51" i="1" s="1"/>
  <c r="F51" i="1" s="1"/>
  <c r="C52" i="1"/>
  <c r="D52" i="1" l="1" a="1"/>
  <c r="D52" i="1" s="1"/>
  <c r="E52" i="1" s="1"/>
  <c r="F52" i="1" s="1"/>
  <c r="C53" i="1"/>
  <c r="D53" i="1" l="1" a="1"/>
  <c r="D53" i="1" s="1"/>
  <c r="E53" i="1" s="1"/>
  <c r="F53" i="1" s="1"/>
  <c r="C54" i="1"/>
  <c r="D54" i="1" l="1" a="1"/>
  <c r="D54" i="1" s="1"/>
  <c r="E54" i="1" s="1"/>
  <c r="F54" i="1" s="1"/>
  <c r="C55" i="1"/>
  <c r="D55" i="1" l="1" a="1"/>
  <c r="D55" i="1" s="1"/>
  <c r="E55" i="1" s="1"/>
  <c r="F55" i="1" s="1"/>
  <c r="C56" i="1"/>
  <c r="D56" i="1" l="1" a="1"/>
  <c r="D56" i="1" s="1"/>
  <c r="E56" i="1" s="1"/>
  <c r="F56" i="1" s="1"/>
  <c r="C57" i="1"/>
  <c r="D57" i="1" l="1" a="1"/>
  <c r="D57" i="1" s="1"/>
  <c r="E57" i="1" s="1"/>
  <c r="F57" i="1" s="1"/>
  <c r="C58" i="1"/>
  <c r="D58" i="1" l="1" a="1"/>
  <c r="D58" i="1" s="1"/>
  <c r="E58" i="1" s="1"/>
  <c r="F58" i="1" s="1"/>
  <c r="C59" i="1"/>
  <c r="D59" i="1" l="1" a="1"/>
  <c r="D59" i="1" s="1"/>
  <c r="E59" i="1" s="1"/>
  <c r="F59" i="1" s="1"/>
  <c r="C60" i="1"/>
  <c r="D60" i="1" l="1" a="1"/>
  <c r="D60" i="1" s="1"/>
  <c r="E60" i="1" s="1"/>
  <c r="F60" i="1" s="1"/>
  <c r="C61" i="1"/>
  <c r="D61" i="1" l="1" a="1"/>
  <c r="D61" i="1" s="1"/>
  <c r="E61" i="1" s="1"/>
  <c r="F61" i="1" s="1"/>
  <c r="C62" i="1"/>
  <c r="D62" i="1" l="1" a="1"/>
  <c r="D62" i="1" s="1"/>
  <c r="E62" i="1" s="1"/>
  <c r="F62" i="1" s="1"/>
  <c r="C63" i="1"/>
  <c r="D63" i="1" l="1" a="1"/>
  <c r="D63" i="1" s="1"/>
  <c r="E63" i="1" s="1"/>
  <c r="F63" i="1" s="1"/>
  <c r="C64" i="1"/>
  <c r="D64" i="1" l="1" a="1"/>
  <c r="D64" i="1" s="1"/>
  <c r="E64" i="1" s="1"/>
  <c r="F64" i="1" s="1"/>
  <c r="C65" i="1"/>
  <c r="D65" i="1" l="1" a="1"/>
  <c r="D65" i="1" s="1"/>
  <c r="E65" i="1" s="1"/>
  <c r="F65" i="1" s="1"/>
  <c r="C66" i="1"/>
  <c r="D66" i="1" l="1" a="1"/>
  <c r="D66" i="1" s="1"/>
  <c r="E66" i="1" s="1"/>
  <c r="F66" i="1" s="1"/>
  <c r="C67" i="1"/>
  <c r="D67" i="1" l="1" a="1"/>
  <c r="D67" i="1" s="1"/>
  <c r="E67" i="1" s="1"/>
  <c r="F67" i="1" s="1"/>
  <c r="C68" i="1"/>
  <c r="D68" i="1" l="1" a="1"/>
  <c r="D68" i="1" s="1"/>
  <c r="E68" i="1" s="1"/>
  <c r="F68" i="1" s="1"/>
  <c r="C69" i="1"/>
  <c r="D69" i="1" l="1" a="1"/>
  <c r="D69" i="1" s="1"/>
  <c r="E69" i="1" s="1"/>
  <c r="F69" i="1" s="1"/>
  <c r="C70" i="1"/>
  <c r="D70" i="1" l="1" a="1"/>
  <c r="D70" i="1" s="1"/>
  <c r="E70" i="1" s="1"/>
  <c r="F70" i="1" s="1"/>
  <c r="C71" i="1"/>
  <c r="D71" i="1" l="1" a="1"/>
  <c r="D71" i="1" s="1"/>
  <c r="E71" i="1" s="1"/>
  <c r="F71" i="1" s="1"/>
  <c r="C72" i="1"/>
  <c r="D72" i="1" l="1" a="1"/>
  <c r="D72" i="1" s="1"/>
  <c r="E72" i="1" s="1"/>
  <c r="F72" i="1" s="1"/>
  <c r="C73" i="1"/>
  <c r="D73" i="1" l="1" a="1"/>
  <c r="D73" i="1" s="1"/>
  <c r="E73" i="1" s="1"/>
  <c r="F73" i="1" s="1"/>
  <c r="C74" i="1"/>
  <c r="D74" i="1" l="1" a="1"/>
  <c r="D74" i="1" s="1"/>
  <c r="E74" i="1" s="1"/>
  <c r="F74" i="1" s="1"/>
  <c r="C75" i="1"/>
  <c r="D75" i="1" l="1" a="1"/>
  <c r="D75" i="1" s="1"/>
  <c r="E75" i="1" s="1"/>
  <c r="F75" i="1" s="1"/>
  <c r="C76" i="1"/>
  <c r="D76" i="1" l="1" a="1"/>
  <c r="D76" i="1" s="1"/>
  <c r="E76" i="1" s="1"/>
  <c r="F76" i="1" s="1"/>
  <c r="C77" i="1"/>
  <c r="D77" i="1" l="1" a="1"/>
  <c r="D77" i="1" s="1"/>
  <c r="E77" i="1" s="1"/>
  <c r="F77" i="1" s="1"/>
  <c r="C78" i="1"/>
  <c r="D78" i="1" l="1" a="1"/>
  <c r="D78" i="1" s="1"/>
  <c r="E78" i="1" s="1"/>
  <c r="F78" i="1" s="1"/>
  <c r="C79" i="1"/>
  <c r="D79" i="1" l="1" a="1"/>
  <c r="D79" i="1" s="1"/>
  <c r="E79" i="1" s="1"/>
  <c r="F79" i="1" s="1"/>
  <c r="C80" i="1"/>
  <c r="D80" i="1" l="1" a="1"/>
  <c r="D80" i="1" s="1"/>
  <c r="E80" i="1" s="1"/>
  <c r="F80" i="1" s="1"/>
  <c r="C81" i="1"/>
  <c r="D81" i="1" l="1" a="1"/>
  <c r="D81" i="1" s="1"/>
  <c r="E81" i="1" s="1"/>
  <c r="F81" i="1" s="1"/>
  <c r="C82" i="1"/>
  <c r="D82" i="1" l="1" a="1"/>
  <c r="D82" i="1" s="1"/>
  <c r="E82" i="1" s="1"/>
  <c r="F82" i="1" s="1"/>
  <c r="C83" i="1"/>
  <c r="D83" i="1" l="1" a="1"/>
  <c r="D83" i="1" s="1"/>
  <c r="E83" i="1" s="1"/>
  <c r="F83" i="1" s="1"/>
  <c r="C84" i="1"/>
  <c r="D84" i="1" l="1" a="1"/>
  <c r="D84" i="1" s="1"/>
  <c r="E84" i="1" s="1"/>
  <c r="X4" i="1"/>
  <c r="U4" i="1" s="1"/>
  <c r="W4" i="1" l="1"/>
  <c r="F84" i="1"/>
  <c r="Y4" i="1"/>
  <c r="R4" i="1" a="1"/>
  <c r="R4" i="1" s="1"/>
  <c r="Q4" i="1" l="1" a="1"/>
  <c r="Q4" i="1" s="1"/>
  <c r="T4" i="1"/>
  <c r="S4" i="1" a="1"/>
  <c r="S4" i="1" s="1"/>
  <c r="V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<sst xmlns="http://schemas.openxmlformats.org/spreadsheetml/2006/main" count="18" uniqueCount="18">
  <si>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X</t>
  </si>
  <si>
    <t>Y</t>
  </si>
  <si>
    <t>dT</t>
  </si>
  <si>
    <t>A</t>
  </si>
  <si>
    <t>B</t>
  </si>
  <si>
    <t>C</t>
  </si>
  <si>
    <t>D</t>
  </si>
  <si>
    <t>E</t>
  </si>
  <si>
    <t>F</t>
  </si>
  <si>
    <t>G</t>
  </si>
  <si>
    <t>H</t>
  </si>
  <si>
    <t>Y(dB)</t>
  </si>
  <si>
    <t>I</t>
  </si>
  <si>
    <t>J</t>
  </si>
  <si>
    <t>dY(dB)</t>
  </si>
  <si>
    <t>3dB</t>
  </si>
  <si>
    <t>1stNull</t>
  </si>
  <si>
    <t>1stSL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</si>
</sst>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/>
    </xf>
    <xf numFmtId="43" fontId="0" fillId="0" borderId="0" xfId="1" applyFont="1" applyAlignment="1">
      <alignment horizontal="center"/>
    </xf>
    <xf numFmtId="43" fontId="0" fillId="0" borderId="0" xfId="0" applyNumberForma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Sheet1!$C$4:$C$84</c:f>
              <c:numCache>
                <c:formatCode>_(* #,##0.00_);_(* \(#,##0.00\);_(* "-"??_);_(@_)</c:formatCode>
                <c:ptCount val="81"/>
                <c:pt idx="0">
                  <c:v>9.9999999999999998E-13</c:v>
                </c:pt>
                <c:pt idx="1">
                  <c:v>4.0000000001E-2</c:v>
                </c:pt>
                <c:pt idx="2">
                  <c:v>8.0000000000999993E-2</c:v>
                </c:pt>
                <c:pt idx="3">
                  <c:v>0.120000000001</c:v>
                </c:pt>
                <c:pt idx="4">
                  <c:v>0.16000000000100001</c:v>
                </c:pt>
                <c:pt idx="5">
                  <c:v>0.20000000000100002</c:v>
                </c:pt>
                <c:pt idx="6">
                  <c:v>0.24000000000100002</c:v>
                </c:pt>
                <c:pt idx="7">
                  <c:v>0.280000000001</c:v>
                </c:pt>
                <c:pt idx="8">
                  <c:v>0.32000000000099998</c:v>
                </c:pt>
                <c:pt idx="9">
                  <c:v>0.36000000000099996</c:v>
                </c:pt>
                <c:pt idx="10">
                  <c:v>0.40000000000099994</c:v>
                </c:pt>
                <c:pt idx="11">
                  <c:v>0.44000000000099992</c:v>
                </c:pt>
                <c:pt idx="12">
                  <c:v>0.4800000000009999</c:v>
                </c:pt>
                <c:pt idx="13">
                  <c:v>0.52000000000099988</c:v>
                </c:pt>
                <c:pt idx="14">
                  <c:v>0.56000000000099992</c:v>
                </c:pt>
                <c:pt idx="15">
                  <c:v>0.60000000000099996</c:v>
                </c:pt>
                <c:pt idx="16">
                  <c:v>0.64000000000099999</c:v>
                </c:pt>
                <c:pt idx="17">
                  <c:v>0.68000000000100003</c:v>
                </c:pt>
                <c:pt idx="18">
                  <c:v>0.72000000000100006</c:v>
                </c:pt>
                <c:pt idx="19">
                  <c:v>0.7600000000010001</c:v>
                </c:pt>
                <c:pt idx="20">
                  <c:v>0.80000000000100013</c:v>
                </c:pt>
                <c:pt idx="21">
                  <c:v>0.84000000000100017</c:v>
                </c:pt>
                <c:pt idx="22">
                  <c:v>0.8800000000010002</c:v>
                </c:pt>
                <c:pt idx="23">
                  <c:v>0.92000000000100024</c:v>
                </c:pt>
                <c:pt idx="24">
                  <c:v>0.96000000000100028</c:v>
                </c:pt>
                <c:pt idx="25">
                  <c:v>1.0000000000010003</c:v>
                </c:pt>
                <c:pt idx="26">
                  <c:v>1.0400000000010003</c:v>
                </c:pt>
                <c:pt idx="27">
                  <c:v>1.0800000000010004</c:v>
                </c:pt>
                <c:pt idx="28">
                  <c:v>1.1200000000010004</c:v>
                </c:pt>
                <c:pt idx="29">
                  <c:v>1.1600000000010005</c:v>
                </c:pt>
                <c:pt idx="30">
                  <c:v>1.2000000000010005</c:v>
                </c:pt>
                <c:pt idx="31">
                  <c:v>1.2400000000010005</c:v>
                </c:pt>
                <c:pt idx="32">
                  <c:v>1.2800000000010006</c:v>
                </c:pt>
                <c:pt idx="33">
                  <c:v>1.3200000000010006</c:v>
                </c:pt>
                <c:pt idx="34">
                  <c:v>1.3600000000010006</c:v>
                </c:pt>
                <c:pt idx="35">
                  <c:v>1.4000000000010007</c:v>
                </c:pt>
                <c:pt idx="36">
                  <c:v>1.4400000000010007</c:v>
                </c:pt>
                <c:pt idx="37">
                  <c:v>1.4800000000010007</c:v>
                </c:pt>
                <c:pt idx="38">
                  <c:v>1.5200000000010008</c:v>
                </c:pt>
                <c:pt idx="39">
                  <c:v>1.5600000000010008</c:v>
                </c:pt>
                <c:pt idx="40">
                  <c:v>1.6000000000010008</c:v>
                </c:pt>
                <c:pt idx="41">
                  <c:v>1.6400000000010009</c:v>
                </c:pt>
                <c:pt idx="42">
                  <c:v>1.6800000000010009</c:v>
                </c:pt>
                <c:pt idx="43">
                  <c:v>1.720000000001001</c:v>
                </c:pt>
                <c:pt idx="44">
                  <c:v>1.760000000001001</c:v>
                </c:pt>
                <c:pt idx="45">
                  <c:v>1.800000000001001</c:v>
                </c:pt>
                <c:pt idx="46">
                  <c:v>1.8400000000010011</c:v>
                </c:pt>
                <c:pt idx="47">
                  <c:v>1.8800000000010011</c:v>
                </c:pt>
                <c:pt idx="48">
                  <c:v>1.9200000000010011</c:v>
                </c:pt>
                <c:pt idx="49">
                  <c:v>1.9600000000010012</c:v>
                </c:pt>
                <c:pt idx="50">
                  <c:v>2.000000000001001</c:v>
                </c:pt>
                <c:pt idx="51">
                  <c:v>2.040000000001001</c:v>
                </c:pt>
                <c:pt idx="52">
                  <c:v>2.080000000001001</c:v>
                </c:pt>
                <c:pt idx="53">
                  <c:v>2.1200000000010011</c:v>
                </c:pt>
                <c:pt idx="54">
                  <c:v>2.1600000000010011</c:v>
                </c:pt>
                <c:pt idx="55">
                  <c:v>2.2000000000010012</c:v>
                </c:pt>
                <c:pt idx="56">
                  <c:v>2.2400000000010012</c:v>
                </c:pt>
                <c:pt idx="57">
                  <c:v>2.2800000000010012</c:v>
                </c:pt>
                <c:pt idx="58">
                  <c:v>2.3200000000010013</c:v>
                </c:pt>
                <c:pt idx="59">
                  <c:v>2.3600000000010013</c:v>
                </c:pt>
                <c:pt idx="60">
                  <c:v>2.4000000000010013</c:v>
                </c:pt>
                <c:pt idx="61">
                  <c:v>2.4400000000010014</c:v>
                </c:pt>
                <c:pt idx="62">
                  <c:v>2.4800000000010014</c:v>
                </c:pt>
                <c:pt idx="63">
                  <c:v>2.5200000000010014</c:v>
                </c:pt>
                <c:pt idx="64">
                  <c:v>2.5600000000010015</c:v>
                </c:pt>
                <c:pt idx="65">
                  <c:v>2.6000000000010015</c:v>
                </c:pt>
                <c:pt idx="66">
                  <c:v>2.6400000000010015</c:v>
                </c:pt>
                <c:pt idx="67">
                  <c:v>2.6800000000010016</c:v>
                </c:pt>
                <c:pt idx="68">
                  <c:v>2.7200000000010016</c:v>
                </c:pt>
                <c:pt idx="69">
                  <c:v>2.7600000000010017</c:v>
                </c:pt>
                <c:pt idx="70">
                  <c:v>2.8000000000010017</c:v>
                </c:pt>
                <c:pt idx="71">
                  <c:v>2.8400000000010017</c:v>
                </c:pt>
                <c:pt idx="72">
                  <c:v>2.8800000000010018</c:v>
                </c:pt>
                <c:pt idx="73">
                  <c:v>2.9200000000010018</c:v>
                </c:pt>
                <c:pt idx="74">
                  <c:v>2.9600000000010018</c:v>
                </c:pt>
                <c:pt idx="75">
                  <c:v>3.0000000000010019</c:v>
                </c:pt>
                <c:pt idx="76">
                  <c:v>3.0400000000010019</c:v>
                </c:pt>
                <c:pt idx="77">
                  <c:v>3.0800000000010019</c:v>
                </c:pt>
                <c:pt idx="78">
                  <c:v>3.120000000001002</c:v>
                </c:pt>
                <c:pt idx="79">
                  <c:v>3.160000000001002</c:v>
                </c:pt>
                <c:pt idx="80">
                  <c:v>3.200000000001002</c:v>
                </c:pt>
              </c:numCache>
            </c:numRef>
          </c:xVal>
          <c:yVal>
            <c:numRef>
              <c:f>Sheet1!$D$4:$D$84</c:f>
              <c:numCache>
                <c:formatCode>_(* #,##0.00_);_(* \(#,##0.00\);_(* "-"??_);_(@_)</c:formatCode>
                <c:ptCount val="81"/>
                <c:pt idx="0">
                  <c:v>0.99999999999991596</c:v>
                </c:pt>
                <c:pt idx="1">
                  <c:v>0.99481539734037006</c:v>
                </c:pt>
                <c:pt idx="2">
                  <c:v>0.98517952857348579</c:v>
                </c:pt>
                <c:pt idx="3">
                  <c:v>0.96990353720419864</c:v>
                </c:pt>
                <c:pt idx="4">
                  <c:v>0.94786465100023032</c:v>
                </c:pt>
                <c:pt idx="5">
                  <c:v>0.91807033810121452</c:v>
                </c:pt>
                <c:pt idx="6">
                  <c:v>0.87973681932415304</c:v>
                </c:pt>
                <c:pt idx="7">
                  <c:v>0.83237853770656445</c:v>
                </c:pt>
                <c:pt idx="8">
                  <c:v>0.77590260249058729</c:v>
                </c:pt>
                <c:pt idx="9">
                  <c:v>0.71069926723238508</c:v>
                </c:pt>
                <c:pt idx="10">
                  <c:v>0.63771651222588788</c:v>
                </c:pt>
                <c:pt idx="11">
                  <c:v>0.55850431510153675</c:v>
                </c:pt>
                <c:pt idx="12">
                  <c:v>0.47521293334313763</c:v>
                </c:pt>
                <c:pt idx="13">
                  <c:v>0.39053034102809875</c:v>
                </c:pt>
                <c:pt idx="14">
                  <c:v>0.30754771115630619</c:v>
                </c:pt>
                <c:pt idx="15">
                  <c:v>0.22954915625897182</c:v>
                </c:pt>
                <c:pt idx="16">
                  <c:v>0.15973299468978444</c:v>
                </c:pt>
                <c:pt idx="17">
                  <c:v>0.10088601999975179</c:v>
                </c:pt>
                <c:pt idx="18">
                  <c:v>5.5048281583752072E-2</c:v>
                </c:pt>
                <c:pt idx="19">
                  <c:v>2.3222898933984274E-2</c:v>
                </c:pt>
                <c:pt idx="20">
                  <c:v>5.2145399768490962E-3</c:v>
                </c:pt>
                <c:pt idx="21">
                  <c:v>1.9431279880407302E-4</c:v>
                </c:pt>
                <c:pt idx="22">
                  <c:v>4.488463472426321E-3</c:v>
                </c:pt>
                <c:pt idx="23">
                  <c:v>1.0199699917208021E-2</c:v>
                </c:pt>
                <c:pt idx="24">
                  <c:v>1.5749128053425428E-2</c:v>
                </c:pt>
                <c:pt idx="25">
                  <c:v>2.0505941286651126E-2</c:v>
                </c:pt>
                <c:pt idx="26">
                  <c:v>2.4130142945973553E-2</c:v>
                </c:pt>
                <c:pt idx="27">
                  <c:v>2.6436103810501235E-2</c:v>
                </c:pt>
                <c:pt idx="28">
                  <c:v>2.7354743423569212E-2</c:v>
                </c:pt>
                <c:pt idx="29">
                  <c:v>2.692287095108517E-2</c:v>
                </c:pt>
                <c:pt idx="30">
                  <c:v>2.5277284091813682E-2</c:v>
                </c:pt>
                <c:pt idx="31">
                  <c:v>2.2644124591683645E-2</c:v>
                </c:pt>
                <c:pt idx="32">
                  <c:v>1.9319224978455663E-2</c:v>
                </c:pt>
                <c:pt idx="33">
                  <c:v>1.5638602374093338E-2</c:v>
                </c:pt>
                <c:pt idx="34">
                  <c:v>1.1941263113516917E-2</c:v>
                </c:pt>
                <c:pt idx="35">
                  <c:v>8.529159863334513E-3</c:v>
                </c:pt>
                <c:pt idx="36">
                  <c:v>5.6310477605780477E-3</c:v>
                </c:pt>
                <c:pt idx="37">
                  <c:v>3.3775013039641613E-3</c:v>
                </c:pt>
                <c:pt idx="38">
                  <c:v>1.7929879648615125E-3</c:v>
                </c:pt>
                <c:pt idx="39">
                  <c:v>8.0757424103853281E-4</c:v>
                </c:pt>
                <c:pt idx="40">
                  <c:v>2.861287710537596E-4</c:v>
                </c:pt>
                <c:pt idx="41">
                  <c:v>6.8017750510502428E-5</c:v>
                </c:pt>
                <c:pt idx="42">
                  <c:v>6.9123720924085291E-6</c:v>
                </c:pt>
                <c:pt idx="43">
                  <c:v>1.2472802574627613E-8</c:v>
                </c:pt>
                <c:pt idx="44">
                  <c:v>7.4166524761595152E-7</c:v>
                </c:pt>
                <c:pt idx="45">
                  <c:v>9.2530294246291974E-6</c:v>
                </c:pt>
                <c:pt idx="46">
                  <c:v>3.199908516450488E-5</c:v>
                </c:pt>
                <c:pt idx="47">
                  <c:v>6.8400472992444835E-5</c:v>
                </c:pt>
                <c:pt idx="48">
                  <c:v>1.1211638393115592E-4</c:v>
                </c:pt>
                <c:pt idx="49">
                  <c:v>1.5380013952113678E-4</c:v>
                </c:pt>
                <c:pt idx="50">
                  <c:v>1.8419437854357631E-4</c:v>
                </c:pt>
                <c:pt idx="51">
                  <c:v>1.968337769001111E-4</c:v>
                </c:pt>
                <c:pt idx="52">
                  <c:v>1.8971500901398975E-4</c:v>
                </c:pt>
                <c:pt idx="53">
                  <c:v>1.6554358793740843E-4</c:v>
                </c:pt>
                <c:pt idx="54">
                  <c:v>1.3057349280004368E-4</c:v>
                </c:pt>
                <c:pt idx="55">
                  <c:v>9.2497215587936181E-5</c:v>
                </c:pt>
                <c:pt idx="56">
                  <c:v>5.8150831503360039E-5</c:v>
                </c:pt>
                <c:pt idx="57">
                  <c:v>3.1828497457803494E-5</c:v>
                </c:pt>
                <c:pt idx="58">
                  <c:v>1.4717122704945935E-5</c:v>
                </c:pt>
                <c:pt idx="59">
                  <c:v>5.4744305945956279E-6</c:v>
                </c:pt>
                <c:pt idx="60">
                  <c:v>1.5041029498961229E-6</c:v>
                </c:pt>
                <c:pt idx="61">
                  <c:v>2.5770546056702603E-7</c:v>
                </c:pt>
                <c:pt idx="62">
                  <c:v>1.8079035516527597E-8</c:v>
                </c:pt>
                <c:pt idx="63">
                  <c:v>8.8973780554208259E-11</c:v>
                </c:pt>
                <c:pt idx="64">
                  <c:v>8.8864422795048966E-12</c:v>
                </c:pt>
                <c:pt idx="65">
                  <c:v>3.2663738290527443E-9</c:v>
                </c:pt>
                <c:pt idx="66">
                  <c:v>3.472750795991095E-8</c:v>
                </c:pt>
                <c:pt idx="67">
                  <c:v>1.3858235327963019E-7</c:v>
                </c:pt>
                <c:pt idx="68">
                  <c:v>3.3848554503366606E-7</c:v>
                </c:pt>
                <c:pt idx="69">
                  <c:v>6.0471575671563833E-7</c:v>
                </c:pt>
                <c:pt idx="70">
                  <c:v>8.5768315913631075E-7</c:v>
                </c:pt>
                <c:pt idx="71">
                  <c:v>1.0065948735122438E-6</c:v>
                </c:pt>
                <c:pt idx="72">
                  <c:v>9.9777540670529547E-7</c:v>
                </c:pt>
                <c:pt idx="73">
                  <c:v>8.4162920034730697E-7</c:v>
                </c:pt>
                <c:pt idx="74">
                  <c:v>6.0269721959941762E-7</c:v>
                </c:pt>
                <c:pt idx="75">
                  <c:v>3.6213638853016857E-7</c:v>
                </c:pt>
                <c:pt idx="76">
                  <c:v>1.784374132675886E-7</c:v>
                </c:pt>
                <c:pt idx="77">
                  <c:v>6.9340154392015213E-8</c:v>
                </c:pt>
                <c:pt idx="78">
                  <c:v>1.9888520704008982E-8</c:v>
                </c:pt>
                <c:pt idx="79">
                  <c:v>3.7358778488562039E-9</c:v>
                </c:pt>
                <c:pt idx="80">
                  <c:v>3.594168581484685E-10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78-42D6-9C61-65A60702B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955600"/>
        <c:axId val="441955664"/>
      </c:scatterChart>
      <c:valAx>
        <c:axId val="80595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955664"/>
        <c:crosses val="autoZero"/>
        <c:crossBetween val="midCat"/>
      </c:valAx>
      <c:valAx>
        <c:axId val="44195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95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Y(dB)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Sheet1!$D$3</c:f>
              <c:strCache>
                <c:ptCount val="1"/>
                <c:pt idx="0">
                  <c:v>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Sheet1!$C$4:$C$84</c:f>
              <c:numCache>
                <c:formatCode>_(* #,##0.00_);_(* \(#,##0.00\);_(* "-"??_);_(@_)</c:formatCode>
                <c:ptCount val="81"/>
                <c:pt idx="0">
                  <c:v>9.9999999999999998E-13</c:v>
                </c:pt>
                <c:pt idx="1">
                  <c:v>4.0000000001E-2</c:v>
                </c:pt>
                <c:pt idx="2">
                  <c:v>8.0000000000999993E-2</c:v>
                </c:pt>
                <c:pt idx="3">
                  <c:v>0.120000000001</c:v>
                </c:pt>
                <c:pt idx="4">
                  <c:v>0.16000000000100001</c:v>
                </c:pt>
                <c:pt idx="5">
                  <c:v>0.20000000000100002</c:v>
                </c:pt>
                <c:pt idx="6">
                  <c:v>0.24000000000100002</c:v>
                </c:pt>
                <c:pt idx="7">
                  <c:v>0.280000000001</c:v>
                </c:pt>
                <c:pt idx="8">
                  <c:v>0.32000000000099998</c:v>
                </c:pt>
                <c:pt idx="9">
                  <c:v>0.36000000000099996</c:v>
                </c:pt>
                <c:pt idx="10">
                  <c:v>0.40000000000099994</c:v>
                </c:pt>
                <c:pt idx="11">
                  <c:v>0.44000000000099992</c:v>
                </c:pt>
                <c:pt idx="12">
                  <c:v>0.4800000000009999</c:v>
                </c:pt>
                <c:pt idx="13">
                  <c:v>0.52000000000099988</c:v>
                </c:pt>
                <c:pt idx="14">
                  <c:v>0.56000000000099992</c:v>
                </c:pt>
                <c:pt idx="15">
                  <c:v>0.60000000000099996</c:v>
                </c:pt>
                <c:pt idx="16">
                  <c:v>0.64000000000099999</c:v>
                </c:pt>
                <c:pt idx="17">
                  <c:v>0.68000000000100003</c:v>
                </c:pt>
                <c:pt idx="18">
                  <c:v>0.72000000000100006</c:v>
                </c:pt>
                <c:pt idx="19">
                  <c:v>0.7600000000010001</c:v>
                </c:pt>
                <c:pt idx="20">
                  <c:v>0.80000000000100013</c:v>
                </c:pt>
                <c:pt idx="21">
                  <c:v>0.84000000000100017</c:v>
                </c:pt>
                <c:pt idx="22">
                  <c:v>0.8800000000010002</c:v>
                </c:pt>
                <c:pt idx="23">
                  <c:v>0.92000000000100024</c:v>
                </c:pt>
                <c:pt idx="24">
                  <c:v>0.96000000000100028</c:v>
                </c:pt>
                <c:pt idx="25">
                  <c:v>1.0000000000010003</c:v>
                </c:pt>
                <c:pt idx="26">
                  <c:v>1.0400000000010003</c:v>
                </c:pt>
                <c:pt idx="27">
                  <c:v>1.0800000000010004</c:v>
                </c:pt>
                <c:pt idx="28">
                  <c:v>1.1200000000010004</c:v>
                </c:pt>
                <c:pt idx="29">
                  <c:v>1.1600000000010005</c:v>
                </c:pt>
                <c:pt idx="30">
                  <c:v>1.2000000000010005</c:v>
                </c:pt>
                <c:pt idx="31">
                  <c:v>1.2400000000010005</c:v>
                </c:pt>
                <c:pt idx="32">
                  <c:v>1.2800000000010006</c:v>
                </c:pt>
                <c:pt idx="33">
                  <c:v>1.3200000000010006</c:v>
                </c:pt>
                <c:pt idx="34">
                  <c:v>1.3600000000010006</c:v>
                </c:pt>
                <c:pt idx="35">
                  <c:v>1.4000000000010007</c:v>
                </c:pt>
                <c:pt idx="36">
                  <c:v>1.4400000000010007</c:v>
                </c:pt>
                <c:pt idx="37">
                  <c:v>1.4800000000010007</c:v>
                </c:pt>
                <c:pt idx="38">
                  <c:v>1.5200000000010008</c:v>
                </c:pt>
                <c:pt idx="39">
                  <c:v>1.5600000000010008</c:v>
                </c:pt>
                <c:pt idx="40">
                  <c:v>1.6000000000010008</c:v>
                </c:pt>
                <c:pt idx="41">
                  <c:v>1.6400000000010009</c:v>
                </c:pt>
                <c:pt idx="42">
                  <c:v>1.6800000000010009</c:v>
                </c:pt>
                <c:pt idx="43">
                  <c:v>1.720000000001001</c:v>
                </c:pt>
                <c:pt idx="44">
                  <c:v>1.760000000001001</c:v>
                </c:pt>
                <c:pt idx="45">
                  <c:v>1.800000000001001</c:v>
                </c:pt>
                <c:pt idx="46">
                  <c:v>1.8400000000010011</c:v>
                </c:pt>
                <c:pt idx="47">
                  <c:v>1.8800000000010011</c:v>
                </c:pt>
                <c:pt idx="48">
                  <c:v>1.9200000000010011</c:v>
                </c:pt>
                <c:pt idx="49">
                  <c:v>1.9600000000010012</c:v>
                </c:pt>
                <c:pt idx="50">
                  <c:v>2.000000000001001</c:v>
                </c:pt>
                <c:pt idx="51">
                  <c:v>2.040000000001001</c:v>
                </c:pt>
                <c:pt idx="52">
                  <c:v>2.080000000001001</c:v>
                </c:pt>
                <c:pt idx="53">
                  <c:v>2.1200000000010011</c:v>
                </c:pt>
                <c:pt idx="54">
                  <c:v>2.1600000000010011</c:v>
                </c:pt>
                <c:pt idx="55">
                  <c:v>2.2000000000010012</c:v>
                </c:pt>
                <c:pt idx="56">
                  <c:v>2.2400000000010012</c:v>
                </c:pt>
                <c:pt idx="57">
                  <c:v>2.2800000000010012</c:v>
                </c:pt>
                <c:pt idx="58">
                  <c:v>2.3200000000010013</c:v>
                </c:pt>
                <c:pt idx="59">
                  <c:v>2.3600000000010013</c:v>
                </c:pt>
                <c:pt idx="60">
                  <c:v>2.4000000000010013</c:v>
                </c:pt>
                <c:pt idx="61">
                  <c:v>2.4400000000010014</c:v>
                </c:pt>
                <c:pt idx="62">
                  <c:v>2.4800000000010014</c:v>
                </c:pt>
                <c:pt idx="63">
                  <c:v>2.5200000000010014</c:v>
                </c:pt>
                <c:pt idx="64">
                  <c:v>2.5600000000010015</c:v>
                </c:pt>
                <c:pt idx="65">
                  <c:v>2.6000000000010015</c:v>
                </c:pt>
                <c:pt idx="66">
                  <c:v>2.6400000000010015</c:v>
                </c:pt>
                <c:pt idx="67">
                  <c:v>2.6800000000010016</c:v>
                </c:pt>
                <c:pt idx="68">
                  <c:v>2.7200000000010016</c:v>
                </c:pt>
                <c:pt idx="69">
                  <c:v>2.7600000000010017</c:v>
                </c:pt>
                <c:pt idx="70">
                  <c:v>2.8000000000010017</c:v>
                </c:pt>
                <c:pt idx="71">
                  <c:v>2.8400000000010017</c:v>
                </c:pt>
                <c:pt idx="72">
                  <c:v>2.8800000000010018</c:v>
                </c:pt>
                <c:pt idx="73">
                  <c:v>2.9200000000010018</c:v>
                </c:pt>
                <c:pt idx="74">
                  <c:v>2.9600000000010018</c:v>
                </c:pt>
                <c:pt idx="75">
                  <c:v>3.0000000000010019</c:v>
                </c:pt>
                <c:pt idx="76">
                  <c:v>3.0400000000010019</c:v>
                </c:pt>
                <c:pt idx="77">
                  <c:v>3.0800000000010019</c:v>
                </c:pt>
                <c:pt idx="78">
                  <c:v>3.120000000001002</c:v>
                </c:pt>
                <c:pt idx="79">
                  <c:v>3.160000000001002</c:v>
                </c:pt>
                <c:pt idx="80">
                  <c:v>3.200000000001002</c:v>
                </c:pt>
              </c:numCache>
            </c:numRef>
          </c:xVal>
          <c:yVal>
            <c:numRef>
              <c:f>Sheet1!$E$4:$E$84</c:f>
              <c:numCache>
                <c:formatCode>General</c:formatCode>
                <c:ptCount val="81"/>
                <c:pt idx="0">
                  <c:v>-7.2999589218086905E-13</c:v>
                </c:pt>
                <c:pt idx="1">
                  <c:v>-4.5150030402119193E-2</c:v>
                </c:pt>
                <c:pt idx="2">
                  <c:v>-0.12969242224419483</c:v>
                </c:pt>
                <c:pt idx="3">
                  <c:v>-0.26542913618285474</c:v>
                </c:pt>
                <c:pt idx="4">
                  <c:v>-0.4650734540895099</c:v>
                </c:pt>
                <c:pt idx="5">
                  <c:v>-0.74248087970072085</c:v>
                </c:pt>
                <c:pt idx="6">
                  <c:v>-1.1129446254091524</c:v>
                </c:pt>
                <c:pt idx="7">
                  <c:v>-1.5935825258582412</c:v>
                </c:pt>
                <c:pt idx="8">
                  <c:v>-2.2038558288477059</c:v>
                </c:pt>
                <c:pt idx="9">
                  <c:v>-2.9662826467472208</c:v>
                </c:pt>
                <c:pt idx="10">
                  <c:v>-3.9074467558877775</c:v>
                </c:pt>
                <c:pt idx="11">
                  <c:v>-5.0594693420132186</c:v>
                </c:pt>
                <c:pt idx="12">
                  <c:v>-6.4622349630994478</c:v>
                </c:pt>
                <c:pt idx="13">
                  <c:v>-8.1669043866071238</c:v>
                </c:pt>
                <c:pt idx="14">
                  <c:v>-10.24175001503423</c:v>
                </c:pt>
                <c:pt idx="15">
                  <c:v>-12.78248598414053</c:v>
                </c:pt>
                <c:pt idx="16">
                  <c:v>-15.932107321356694</c:v>
                </c:pt>
                <c:pt idx="17">
                  <c:v>-19.923380214927128</c:v>
                </c:pt>
                <c:pt idx="18">
                  <c:v>-25.185124672933558</c:v>
                </c:pt>
                <c:pt idx="19">
                  <c:v>-32.681671357367463</c:v>
                </c:pt>
                <c:pt idx="20">
                  <c:v>-45.655679974195593</c:v>
                </c:pt>
                <c:pt idx="21">
                  <c:v>-74.229971855536959</c:v>
                </c:pt>
                <c:pt idx="22">
                  <c:v>-46.958046095979157</c:v>
                </c:pt>
                <c:pt idx="23">
                  <c:v>-39.82825210636512</c:v>
                </c:pt>
                <c:pt idx="24">
                  <c:v>-36.054869716304708</c:v>
                </c:pt>
                <c:pt idx="25">
                  <c:v>-33.762405808958036</c:v>
                </c:pt>
                <c:pt idx="26">
                  <c:v>-32.348802106819193</c:v>
                </c:pt>
                <c:pt idx="27">
                  <c:v>-31.556051027816586</c:v>
                </c:pt>
                <c:pt idx="28">
                  <c:v>-31.259347087480307</c:v>
                </c:pt>
                <c:pt idx="29">
                  <c:v>-31.397572609813569</c:v>
                </c:pt>
                <c:pt idx="30">
                  <c:v>-31.945391809772548</c:v>
                </c:pt>
                <c:pt idx="31">
                  <c:v>-32.900889284429468</c:v>
                </c:pt>
                <c:pt idx="32">
                  <c:v>-34.280205999747302</c:v>
                </c:pt>
                <c:pt idx="33">
                  <c:v>-36.116041251023738</c:v>
                </c:pt>
                <c:pt idx="34">
                  <c:v>-38.458994646349666</c:v>
                </c:pt>
                <c:pt idx="35">
                  <c:v>-41.381874909327784</c:v>
                </c:pt>
                <c:pt idx="36">
                  <c:v>-44.98821578218876</c:v>
                </c:pt>
                <c:pt idx="37">
                  <c:v>-49.428089492725114</c:v>
                </c:pt>
                <c:pt idx="38">
                  <c:v>-54.92845251117437</c:v>
                </c:pt>
                <c:pt idx="39">
                  <c:v>-61.85635084145347</c:v>
                </c:pt>
                <c:pt idx="40">
                  <c:v>-70.868769409315505</c:v>
                </c:pt>
                <c:pt idx="41">
                  <c:v>-83.347554703882011</c:v>
                </c:pt>
                <c:pt idx="42">
                  <c:v>-103.20745783728954</c:v>
                </c:pt>
                <c:pt idx="43">
                  <c:v>-158.08071903637494</c:v>
                </c:pt>
                <c:pt idx="44">
                  <c:v>-122.59584140701563</c:v>
                </c:pt>
                <c:pt idx="45">
                  <c:v>-100.67432113548188</c:v>
                </c:pt>
                <c:pt idx="46">
                  <c:v>-89.89724875465609</c:v>
                </c:pt>
                <c:pt idx="47">
                  <c:v>-83.298817902060094</c:v>
                </c:pt>
                <c:pt idx="48">
                  <c:v>-79.006618358097754</c:v>
                </c:pt>
                <c:pt idx="49">
                  <c:v>-76.260865411207703</c:v>
                </c:pt>
                <c:pt idx="50">
                  <c:v>-74.694472564733331</c:v>
                </c:pt>
                <c:pt idx="51">
                  <c:v>-74.118007481646075</c:v>
                </c:pt>
                <c:pt idx="52">
                  <c:v>-74.437966184113534</c:v>
                </c:pt>
                <c:pt idx="53">
                  <c:v>-75.621752725581203</c:v>
                </c:pt>
                <c:pt idx="54">
                  <c:v>-77.682899569808185</c:v>
                </c:pt>
                <c:pt idx="55">
                  <c:v>-80.677426809650768</c:v>
                </c:pt>
                <c:pt idx="56">
                  <c:v>-84.708881417596601</c:v>
                </c:pt>
                <c:pt idx="57">
                  <c:v>-89.943677256601006</c:v>
                </c:pt>
                <c:pt idx="58">
                  <c:v>-96.643541782998568</c:v>
                </c:pt>
                <c:pt idx="59">
                  <c:v>-105.23322091783052</c:v>
                </c:pt>
                <c:pt idx="60">
                  <c:v>-116.45444873975944</c:v>
                </c:pt>
                <c:pt idx="61">
                  <c:v>-131.77752758016527</c:v>
                </c:pt>
                <c:pt idx="62">
                  <c:v>-154.8564948411763</c:v>
                </c:pt>
                <c:pt idx="63">
                  <c:v>-201.01475911165403</c:v>
                </c:pt>
                <c:pt idx="64">
                  <c:v>-221.02544151317363</c:v>
                </c:pt>
                <c:pt idx="65">
                  <c:v>-169.71868225479153</c:v>
                </c:pt>
                <c:pt idx="66">
                  <c:v>-149.18652760939116</c:v>
                </c:pt>
                <c:pt idx="67">
                  <c:v>-137.1658413629126</c:v>
                </c:pt>
                <c:pt idx="68">
                  <c:v>-129.40919746106314</c:v>
                </c:pt>
                <c:pt idx="69">
                  <c:v>-124.36897430191785</c:v>
                </c:pt>
                <c:pt idx="70">
                  <c:v>-121.33346234679664</c:v>
                </c:pt>
                <c:pt idx="71">
                  <c:v>-119.94290571503853</c:v>
                </c:pt>
                <c:pt idx="72">
                  <c:v>-120.01934409620716</c:v>
                </c:pt>
                <c:pt idx="73">
                  <c:v>-121.49758410140869</c:v>
                </c:pt>
                <c:pt idx="74">
                  <c:v>-124.39801624083972</c:v>
                </c:pt>
                <c:pt idx="75">
                  <c:v>-128.82255667605153</c:v>
                </c:pt>
                <c:pt idx="76">
                  <c:v>-134.97028162339828</c:v>
                </c:pt>
                <c:pt idx="77">
                  <c:v>-143.18030391366582</c:v>
                </c:pt>
                <c:pt idx="78">
                  <c:v>-154.0279503646384</c:v>
                </c:pt>
                <c:pt idx="79">
                  <c:v>-168.55214664474346</c:v>
                </c:pt>
                <c:pt idx="80">
                  <c:v>-188.88803113056483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2D-4B8D-ACE8-59A9EB747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955600"/>
        <c:axId val="441955664"/>
      </c:scatterChart>
      <c:valAx>
        <c:axId val="80595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955664"/>
        <c:crosses val="autoZero"/>
        <c:crossBetween val="midCat"/>
      </c:valAx>
      <c:valAx>
        <c:axId val="44195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95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425891</xdr:colOff>
      <xdr:row>22</xdr:row>
      <xdr:rowOff>510</xdr:rowOff>
    </xdr:from>
    <xdr:to>
      <xdr:col>34</xdr:col>
      <xdr:colOff>553197</xdr:colOff>
      <xdr:row>40</xdr:row>
      <xdr:rowOff>32259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AF19E1-4247-BE2D-FFDB-E3F230302C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381718</xdr:colOff>
      <xdr:row>5</xdr:row>
      <xdr:rowOff>120639</xdr:rowOff>
    </xdr:from>
    <xdr:to>
      <xdr:col>34</xdr:col>
      <xdr:colOff>496323</xdr:colOff>
      <xdr:row>21</xdr:row>
      <xdr:rowOff>174776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4FA363D-8E24-4E39-9111-BB56266CB4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DAAAB-17B5-49C4-8959-B94487BC2A69}">
  <sheetPr codeName="Sheet1"/>
  <dimension ref="A1:Y84"/>
  <sheetViews>
    <sheetView tabSelected="1" zoomScale="85" zoomScaleNormal="85" workbookViewId="0">
      <selection activeCell="T3" sqref="T3:Y3"/>
    </sheetView>
  </sheetViews>
  <sheetFormatPr baseColWidth="10" defaultColWidth="8.83203125" defaultRowHeight="15" x14ac:dyDescent="0.2"/>
  <cols>
    <col min="1" max="1" width="12" bestFit="1" customWidth="1"/>
    <col min="3" max="3" width="9.1640625" style="1"/>
    <col min="4" max="4" width="13.1640625" style="1" bestFit="1" customWidth="1"/>
    <col min="6" max="6" width="13.33203125" bestFit="1" customWidth="1"/>
    <col min="7" max="7" width="12" bestFit="1" customWidth="1"/>
    <col min="17" max="17" width="12.6640625" bestFit="1" customWidth="1"/>
    <col min="18" max="18" width="11.6640625" bestFit="1" customWidth="1"/>
    <col min="19" max="19" width="12.6640625" bestFit="1" customWidth="1"/>
    <col min="22" max="22" width="12.6640625" bestFit="1" customWidth="1"/>
  </cols>
  <sheetData>
    <row r="1" spans="1:25" x14ac:dyDescent="0.2">
      <c r="H1" cm="1">
        <f t="array" ref="H1">SUM(H4:J4*{1,3,10})</f>
        <v>11.5</v>
      </c>
    </row>
    <row r="2" spans="1:25" x14ac:dyDescent="0.2">
      <c r="G2" s="1">
        <v>0</v>
      </c>
      <c r="H2" s="1">
        <v>0</v>
      </c>
      <c r="I2" s="1">
        <v>1</v>
      </c>
      <c r="J2" s="1">
        <v>2</v>
      </c>
      <c r="K2" s="1">
        <v>0</v>
      </c>
      <c r="L2" s="1">
        <v>1</v>
      </c>
      <c r="M2" s="1">
        <v>2</v>
      </c>
      <c r="N2" s="1">
        <v>3</v>
      </c>
      <c r="O2" s="1">
        <v>4</v>
      </c>
      <c r="P2" s="1">
        <v>5</v>
      </c>
    </row>
    <row r="3" spans="1:25" x14ac:dyDescent="0.2">
      <c r="A3" t="s">
        <v>2</v>
      </c>
      <c r="C3" s="1" t="s">
        <v>0</v>
      </c>
      <c r="D3" s="1" t="s">
        <v>1</v>
      </c>
      <c r="E3" t="s">
        <v>11</v>
      </c>
      <c r="F3" t="s">
        <v>14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9</v>
      </c>
      <c r="N3" s="1" t="s">
        <v>10</v>
      </c>
      <c r="O3" s="1" t="s">
        <v>12</v>
      </c>
      <c r="P3" s="1" t="s">
        <v>13</v>
      </c>
      <c r="Q3" s="1" t="s">
        <v>15</v>
      </c>
      <c r="R3" s="1" t="s">
        <v>16</v>
      </c>
      <c r="S3" s="1" t="s">
        <v>17</v>
      </c>
      <c r="T3" s="1" t="str">
        <f>Q3&amp;"_x"</f>
        <v>3dB_x</v>
      </c>
      <c r="U3" s="1" t="str">
        <f t="shared" ref="U3:Y3" si="0">R3&amp;"_x"</f>
        <v>1stNull_x</v>
      </c>
      <c r="V3" s="1" t="str">
        <f t="shared" si="0"/>
        <v>1stSL_x</v>
      </c>
      <c r="W3" s="1" t="str">
        <f>Q3&amp;"_idx"</f>
        <v>3dB_idx</v>
      </c>
      <c r="X3" s="1" t="str">
        <f t="shared" ref="X3:Y3" si="1">R3&amp;"_idx"</f>
        <v>1stNull_idx</v>
      </c>
      <c r="Y3" s="1" t="str">
        <f t="shared" si="1"/>
        <v>1stSL_idx</v>
      </c>
    </row>
    <row r="4" spans="1:25" x14ac:dyDescent="0.2">
      <c r="A4">
        <f>ROUND(0.2/(H1^(1/1.5)),2)</f>
        <v>0.04</v>
      </c>
      <c r="B4">
        <v>1</v>
      </c>
      <c r="C4" s="2">
        <v>9.9999999999999998E-13</v>
      </c>
      <c r="D4" s="3" cm="1">
        <f t="array" ref="D4">(sinc(SUM((C4^$H$2:$J$2)*$H$4:$J$4))^2)^SUM((C4^$K$2:$P$2)*$K$4:$P$4)</f>
        <v>0.99999999999991596</v>
      </c>
      <c r="E4">
        <f>20*LOG10(D4)</f>
        <v>-7.2999589218086905E-13</v>
      </c>
      <c r="F4">
        <v>0</v>
      </c>
      <c r="G4" s="1">
        <v>1</v>
      </c>
      <c r="H4" s="1">
        <v>0.5</v>
      </c>
      <c r="I4" s="1">
        <v>3</v>
      </c>
      <c r="J4" s="1">
        <v>0.2</v>
      </c>
      <c r="K4" s="1">
        <v>0</v>
      </c>
      <c r="L4" s="1">
        <v>1</v>
      </c>
      <c r="M4" s="1">
        <v>0</v>
      </c>
      <c r="N4" s="1">
        <v>0</v>
      </c>
      <c r="O4" s="1">
        <v>0</v>
      </c>
      <c r="P4" s="1">
        <v>0</v>
      </c>
      <c r="Q4" cm="1">
        <f t="array" ref="Q4">INDEX(E4:E84,W4)</f>
        <v>-2.9662826467472208</v>
      </c>
      <c r="R4" cm="1">
        <f t="array" ref="R4">INDEX(E4:E84,X4)</f>
        <v>-45.655679974195593</v>
      </c>
      <c r="S4" cm="1">
        <f t="array" aca="1" ref="S4" ca="1">INDEX(E4:E84,Y4)</f>
        <v>-31.397572609813569</v>
      </c>
      <c r="T4">
        <f>(W4-1)*$A$4</f>
        <v>0.36</v>
      </c>
      <c r="U4">
        <f t="shared" ref="U4:V4" si="2">(X4-1)*$A$4</f>
        <v>0.8</v>
      </c>
      <c r="V4">
        <f t="shared" ca="1" si="2"/>
        <v>1.1599999999999999</v>
      </c>
      <c r="W4">
        <f>MATCH(-3,E4:E84,-1)</f>
        <v>10</v>
      </c>
      <c r="X4">
        <f>MATCH(-50,E4:E84,-1)</f>
        <v>21</v>
      </c>
      <c r="Y4">
        <f ca="1">MATCH(MAX(OFFSET(E3,X4,0,40)),OFFSET(E3,X4,0,40),0)+X4</f>
        <v>30</v>
      </c>
    </row>
    <row r="5" spans="1:25" x14ac:dyDescent="0.2">
      <c r="B5">
        <v>2</v>
      </c>
      <c r="C5" s="2">
        <f>C4+$A$4</f>
        <v>4.0000000001E-2</v>
      </c>
      <c r="D5" s="3" cm="1">
        <f t="array" ref="D5">(sinc(SUM((C5^$H$2:$J$2)*$H$4:$J$4))^2)^SUM((C5^$K$2:$P$2)*$K$4:$P$4)</f>
        <v>0.99481539734037006</v>
      </c>
      <c r="E5">
        <f t="shared" ref="E5:E68" si="3">20*LOG10(D5)</f>
        <v>-4.5150030402119193E-2</v>
      </c>
      <c r="F5">
        <f>ABS(E5-E4)</f>
        <v>4.51500304013892E-2</v>
      </c>
      <c r="G5" s="1">
        <v>1</v>
      </c>
      <c r="H5" s="1">
        <v>0.5</v>
      </c>
      <c r="I5" s="1">
        <v>3</v>
      </c>
      <c r="J5" s="1">
        <v>0.2</v>
      </c>
      <c r="K5" s="1">
        <v>0</v>
      </c>
      <c r="L5" s="1">
        <v>1</v>
      </c>
      <c r="M5" s="1">
        <v>0</v>
      </c>
      <c r="N5" s="1">
        <v>0</v>
      </c>
      <c r="O5" s="1">
        <v>0</v>
      </c>
      <c r="P5" s="1">
        <v>0</v>
      </c>
      <c r="Q5">
        <v>-2.9662826467472208</v>
      </c>
      <c r="R5">
        <v>-45.655679974195593</v>
      </c>
      <c r="S5">
        <v>-31.397572609813569</v>
      </c>
      <c r="T5">
        <v>0.36</v>
      </c>
      <c r="U5">
        <v>0.8</v>
      </c>
      <c r="V5">
        <v>1.1599999999999999</v>
      </c>
      <c r="W5">
        <v>10</v>
      </c>
      <c r="X5">
        <v>21</v>
      </c>
      <c r="Y5">
        <v>30</v>
      </c>
    </row>
    <row r="6" spans="1:25" x14ac:dyDescent="0.2">
      <c r="B6">
        <v>3</v>
      </c>
      <c r="C6" s="2">
        <f t="shared" ref="C6:C63" si="4">C5+$A$4</f>
        <v>8.0000000000999993E-2</v>
      </c>
      <c r="D6" s="3" cm="1">
        <f t="array" ref="D6">(sinc(SUM((C6^$H$2:$J$2)*$H$4:$J$4))^2)^SUM((C6^$K$2:$P$2)*$K$4:$P$4)</f>
        <v>0.98517952857348579</v>
      </c>
      <c r="E6">
        <f t="shared" si="3"/>
        <v>-0.12969242224419483</v>
      </c>
      <c r="F6">
        <f t="shared" ref="F6:F69" si="5">ABS(E6-E5)</f>
        <v>8.454239184207564E-2</v>
      </c>
      <c r="G6" s="1">
        <v>1</v>
      </c>
      <c r="H6" s="1">
        <v>0.5</v>
      </c>
      <c r="I6" s="1">
        <v>3</v>
      </c>
      <c r="J6" s="1">
        <v>0.2</v>
      </c>
      <c r="K6" s="1">
        <v>0</v>
      </c>
      <c r="L6" s="1">
        <v>1</v>
      </c>
      <c r="M6" s="1">
        <v>0</v>
      </c>
      <c r="N6" s="1">
        <v>0</v>
      </c>
      <c r="O6" s="1">
        <v>0</v>
      </c>
      <c r="P6" s="1">
        <v>0</v>
      </c>
      <c r="Q6">
        <v>-2.9662826467472208</v>
      </c>
      <c r="R6">
        <v>-45.655679974195593</v>
      </c>
      <c r="S6">
        <v>-31.397572609813569</v>
      </c>
      <c r="T6">
        <v>0.36</v>
      </c>
      <c r="U6">
        <v>0.8</v>
      </c>
      <c r="V6">
        <v>1.1599999999999999</v>
      </c>
      <c r="W6">
        <v>10</v>
      </c>
      <c r="X6">
        <v>21</v>
      </c>
      <c r="Y6">
        <v>30</v>
      </c>
    </row>
    <row r="7" spans="1:25" x14ac:dyDescent="0.2">
      <c r="B7">
        <v>4</v>
      </c>
      <c r="C7" s="2">
        <f t="shared" si="4"/>
        <v>0.120000000001</v>
      </c>
      <c r="D7" s="3" cm="1">
        <f t="array" ref="D7">(sinc(SUM((C7^$H$2:$J$2)*$H$4:$J$4))^2)^SUM((C7^$K$2:$P$2)*$K$4:$P$4)</f>
        <v>0.96990353720419864</v>
      </c>
      <c r="E7">
        <f t="shared" si="3"/>
        <v>-0.26542913618285474</v>
      </c>
      <c r="F7">
        <f t="shared" si="5"/>
        <v>0.13573671393865991</v>
      </c>
      <c r="G7" s="1">
        <v>1</v>
      </c>
      <c r="H7" s="1">
        <v>0.5</v>
      </c>
      <c r="I7" s="1">
        <v>3</v>
      </c>
      <c r="J7" s="1">
        <v>0.2</v>
      </c>
      <c r="K7" s="1">
        <v>0</v>
      </c>
      <c r="L7" s="1">
        <v>1</v>
      </c>
      <c r="M7" s="1">
        <v>0</v>
      </c>
      <c r="N7" s="1">
        <v>0</v>
      </c>
      <c r="O7" s="1">
        <v>0</v>
      </c>
      <c r="P7" s="1">
        <v>0</v>
      </c>
      <c r="Q7">
        <v>-2.9662826467472208</v>
      </c>
      <c r="R7">
        <v>-45.655679974195593</v>
      </c>
      <c r="S7">
        <v>-31.397572609813569</v>
      </c>
      <c r="T7">
        <v>0.36</v>
      </c>
      <c r="U7">
        <v>0.8</v>
      </c>
      <c r="V7">
        <v>1.1599999999999999</v>
      </c>
      <c r="W7">
        <v>10</v>
      </c>
      <c r="X7">
        <v>21</v>
      </c>
      <c r="Y7">
        <v>30</v>
      </c>
    </row>
    <row r="8" spans="1:25" x14ac:dyDescent="0.2">
      <c r="B8">
        <v>5</v>
      </c>
      <c r="C8" s="2">
        <f t="shared" si="4"/>
        <v>0.16000000000100001</v>
      </c>
      <c r="D8" s="3" cm="1">
        <f t="array" ref="D8">(sinc(SUM((C8^$H$2:$J$2)*$H$4:$J$4))^2)^SUM((C8^$K$2:$P$2)*$K$4:$P$4)</f>
        <v>0.94786465100023032</v>
      </c>
      <c r="E8">
        <f t="shared" si="3"/>
        <v>-0.4650734540895099</v>
      </c>
      <c r="F8">
        <f t="shared" si="5"/>
        <v>0.19964431790665516</v>
      </c>
    </row>
    <row r="9" spans="1:25" x14ac:dyDescent="0.2">
      <c r="B9">
        <v>6</v>
      </c>
      <c r="C9" s="2">
        <f t="shared" si="4"/>
        <v>0.20000000000100002</v>
      </c>
      <c r="D9" s="3" cm="1">
        <f t="array" ref="D9">(sinc(SUM((C9^$H$2:$J$2)*$H$4:$J$4))^2)^SUM((C9^$K$2:$P$2)*$K$4:$P$4)</f>
        <v>0.91807033810121452</v>
      </c>
      <c r="E9">
        <f t="shared" si="3"/>
        <v>-0.74248087970072085</v>
      </c>
      <c r="F9">
        <f t="shared" si="5"/>
        <v>0.27740742561121096</v>
      </c>
    </row>
    <row r="10" spans="1:25" x14ac:dyDescent="0.2">
      <c r="B10">
        <v>7</v>
      </c>
      <c r="C10" s="2">
        <f t="shared" si="4"/>
        <v>0.24000000000100002</v>
      </c>
      <c r="D10" s="3" cm="1">
        <f t="array" ref="D10">(sinc(SUM((C10^$H$2:$J$2)*$H$4:$J$4))^2)^SUM((C10^$K$2:$P$2)*$K$4:$P$4)</f>
        <v>0.87973681932415304</v>
      </c>
      <c r="E10">
        <f t="shared" si="3"/>
        <v>-1.1129446254091524</v>
      </c>
      <c r="F10">
        <f t="shared" si="5"/>
        <v>0.37046374570843155</v>
      </c>
    </row>
    <row r="11" spans="1:25" x14ac:dyDescent="0.2">
      <c r="B11">
        <v>8</v>
      </c>
      <c r="C11" s="2">
        <f t="shared" si="4"/>
        <v>0.280000000001</v>
      </c>
      <c r="D11" s="3" cm="1">
        <f t="array" ref="D11">(sinc(SUM((C11^$H$2:$J$2)*$H$4:$J$4))^2)^SUM((C11^$K$2:$P$2)*$K$4:$P$4)</f>
        <v>0.83237853770656445</v>
      </c>
      <c r="E11">
        <f t="shared" si="3"/>
        <v>-1.5935825258582412</v>
      </c>
      <c r="F11">
        <f t="shared" si="5"/>
        <v>0.48063790044908883</v>
      </c>
    </row>
    <row r="12" spans="1:25" x14ac:dyDescent="0.2">
      <c r="B12">
        <v>9</v>
      </c>
      <c r="C12" s="2">
        <f t="shared" si="4"/>
        <v>0.32000000000099998</v>
      </c>
      <c r="D12" s="3" cm="1">
        <f t="array" ref="D12">(sinc(SUM((C12^$H$2:$J$2)*$H$4:$J$4))^2)^SUM((C12^$K$2:$P$2)*$K$4:$P$4)</f>
        <v>0.77590260249058729</v>
      </c>
      <c r="E12">
        <f t="shared" si="3"/>
        <v>-2.2038558288477059</v>
      </c>
      <c r="F12">
        <f t="shared" si="5"/>
        <v>0.61027330298946469</v>
      </c>
    </row>
    <row r="13" spans="1:25" x14ac:dyDescent="0.2">
      <c r="B13">
        <v>10</v>
      </c>
      <c r="C13" s="2">
        <f t="shared" si="4"/>
        <v>0.36000000000099996</v>
      </c>
      <c r="D13" s="3" cm="1">
        <f t="array" ref="D13">(sinc(SUM((C13^$H$2:$J$2)*$H$4:$J$4))^2)^SUM((C13^$K$2:$P$2)*$K$4:$P$4)</f>
        <v>0.71069926723238508</v>
      </c>
      <c r="E13">
        <f t="shared" si="3"/>
        <v>-2.9662826467472208</v>
      </c>
      <c r="F13">
        <f t="shared" si="5"/>
        <v>0.76242681789951483</v>
      </c>
    </row>
    <row r="14" spans="1:25" x14ac:dyDescent="0.2">
      <c r="B14">
        <v>11</v>
      </c>
      <c r="C14" s="2">
        <f t="shared" si="4"/>
        <v>0.40000000000099994</v>
      </c>
      <c r="D14" s="3" cm="1">
        <f t="array" ref="D14">(sinc(SUM((C14^$H$2:$J$2)*$H$4:$J$4))^2)^SUM((C14^$K$2:$P$2)*$K$4:$P$4)</f>
        <v>0.63771651222588788</v>
      </c>
      <c r="E14">
        <f t="shared" si="3"/>
        <v>-3.9074467558877775</v>
      </c>
      <c r="F14">
        <f t="shared" si="5"/>
        <v>0.9411641091405567</v>
      </c>
    </row>
    <row r="15" spans="1:25" x14ac:dyDescent="0.2">
      <c r="B15">
        <v>12</v>
      </c>
      <c r="C15" s="2">
        <f t="shared" si="4"/>
        <v>0.44000000000099992</v>
      </c>
      <c r="D15" s="3" cm="1">
        <f t="array" ref="D15">(sinc(SUM((C15^$H$2:$J$2)*$H$4:$J$4))^2)^SUM((C15^$K$2:$P$2)*$K$4:$P$4)</f>
        <v>0.55850431510153675</v>
      </c>
      <c r="E15">
        <f t="shared" si="3"/>
        <v>-5.0594693420132186</v>
      </c>
      <c r="F15">
        <f t="shared" si="5"/>
        <v>1.1520225861254412</v>
      </c>
    </row>
    <row r="16" spans="1:25" x14ac:dyDescent="0.2">
      <c r="B16">
        <v>13</v>
      </c>
      <c r="C16" s="2">
        <f t="shared" si="4"/>
        <v>0.4800000000009999</v>
      </c>
      <c r="D16" s="3" cm="1">
        <f t="array" ref="D16">(sinc(SUM((C16^$H$2:$J$2)*$H$4:$J$4))^2)^SUM((C16^$K$2:$P$2)*$K$4:$P$4)</f>
        <v>0.47521293334313763</v>
      </c>
      <c r="E16">
        <f t="shared" si="3"/>
        <v>-6.4622349630994478</v>
      </c>
      <c r="F16">
        <f t="shared" si="5"/>
        <v>1.4027656210862292</v>
      </c>
    </row>
    <row r="17" spans="2:6" x14ac:dyDescent="0.2">
      <c r="B17">
        <v>14</v>
      </c>
      <c r="C17" s="2">
        <f t="shared" si="4"/>
        <v>0.52000000000099988</v>
      </c>
      <c r="D17" s="3" cm="1">
        <f t="array" ref="D17">(sinc(SUM((C17^$H$2:$J$2)*$H$4:$J$4))^2)^SUM((C17^$K$2:$P$2)*$K$4:$P$4)</f>
        <v>0.39053034102809875</v>
      </c>
      <c r="E17">
        <f t="shared" si="3"/>
        <v>-8.1669043866071238</v>
      </c>
      <c r="F17">
        <f t="shared" si="5"/>
        <v>1.704669423507676</v>
      </c>
    </row>
    <row r="18" spans="2:6" x14ac:dyDescent="0.2">
      <c r="B18">
        <v>15</v>
      </c>
      <c r="C18" s="2">
        <f t="shared" si="4"/>
        <v>0.56000000000099992</v>
      </c>
      <c r="D18" s="3" cm="1">
        <f t="array" ref="D18">(sinc(SUM((C18^$H$2:$J$2)*$H$4:$J$4))^2)^SUM((C18^$K$2:$P$2)*$K$4:$P$4)</f>
        <v>0.30754771115630619</v>
      </c>
      <c r="E18">
        <f t="shared" si="3"/>
        <v>-10.24175001503423</v>
      </c>
      <c r="F18">
        <f t="shared" si="5"/>
        <v>2.0748456284271057</v>
      </c>
    </row>
    <row r="19" spans="2:6" x14ac:dyDescent="0.2">
      <c r="B19">
        <v>16</v>
      </c>
      <c r="C19" s="2">
        <f t="shared" si="4"/>
        <v>0.60000000000099996</v>
      </c>
      <c r="D19" s="3" cm="1">
        <f t="array" ref="D19">(sinc(SUM((C19^$H$2:$J$2)*$H$4:$J$4))^2)^SUM((C19^$K$2:$P$2)*$K$4:$P$4)</f>
        <v>0.22954915625897182</v>
      </c>
      <c r="E19">
        <f t="shared" si="3"/>
        <v>-12.78248598414053</v>
      </c>
      <c r="F19">
        <f t="shared" si="5"/>
        <v>2.5407359691063007</v>
      </c>
    </row>
    <row r="20" spans="2:6" x14ac:dyDescent="0.2">
      <c r="B20">
        <v>17</v>
      </c>
      <c r="C20" s="2">
        <f t="shared" si="4"/>
        <v>0.64000000000099999</v>
      </c>
      <c r="D20" s="3" cm="1">
        <f t="array" ref="D20">(sinc(SUM((C20^$H$2:$J$2)*$H$4:$J$4))^2)^SUM((C20^$K$2:$P$2)*$K$4:$P$4)</f>
        <v>0.15973299468978444</v>
      </c>
      <c r="E20">
        <f t="shared" si="3"/>
        <v>-15.932107321356694</v>
      </c>
      <c r="F20">
        <f t="shared" si="5"/>
        <v>3.1496213372161641</v>
      </c>
    </row>
    <row r="21" spans="2:6" x14ac:dyDescent="0.2">
      <c r="B21">
        <v>18</v>
      </c>
      <c r="C21" s="2">
        <f t="shared" si="4"/>
        <v>0.68000000000100003</v>
      </c>
      <c r="D21" s="3" cm="1">
        <f t="array" ref="D21">(sinc(SUM((C21^$H$2:$J$2)*$H$4:$J$4))^2)^SUM((C21^$K$2:$P$2)*$K$4:$P$4)</f>
        <v>0.10088601999975179</v>
      </c>
      <c r="E21">
        <f t="shared" si="3"/>
        <v>-19.923380214927128</v>
      </c>
      <c r="F21">
        <f t="shared" si="5"/>
        <v>3.991272893570434</v>
      </c>
    </row>
    <row r="22" spans="2:6" x14ac:dyDescent="0.2">
      <c r="B22">
        <v>19</v>
      </c>
      <c r="C22" s="2">
        <f t="shared" si="4"/>
        <v>0.72000000000100006</v>
      </c>
      <c r="D22" s="3" cm="1">
        <f t="array" ref="D22">(sinc(SUM((C22^$H$2:$J$2)*$H$4:$J$4))^2)^SUM((C22^$K$2:$P$2)*$K$4:$P$4)</f>
        <v>5.5048281583752072E-2</v>
      </c>
      <c r="E22">
        <f t="shared" si="3"/>
        <v>-25.185124672933558</v>
      </c>
      <c r="F22">
        <f t="shared" si="5"/>
        <v>5.2617444580064294</v>
      </c>
    </row>
    <row r="23" spans="2:6" x14ac:dyDescent="0.2">
      <c r="B23">
        <v>20</v>
      </c>
      <c r="C23" s="2">
        <f t="shared" si="4"/>
        <v>0.7600000000010001</v>
      </c>
      <c r="D23" s="3" cm="1">
        <f t="array" ref="D23">(sinc(SUM((C23^$H$2:$J$2)*$H$4:$J$4))^2)^SUM((C23^$K$2:$P$2)*$K$4:$P$4)</f>
        <v>2.3222898933984274E-2</v>
      </c>
      <c r="E23">
        <f t="shared" si="3"/>
        <v>-32.681671357367463</v>
      </c>
      <c r="F23">
        <f t="shared" si="5"/>
        <v>7.4965466844339055</v>
      </c>
    </row>
    <row r="24" spans="2:6" x14ac:dyDescent="0.2">
      <c r="B24">
        <v>21</v>
      </c>
      <c r="C24" s="2">
        <f t="shared" si="4"/>
        <v>0.80000000000100013</v>
      </c>
      <c r="D24" s="3" cm="1">
        <f t="array" ref="D24">(sinc(SUM((C24^$H$2:$J$2)*$H$4:$J$4))^2)^SUM((C24^$K$2:$P$2)*$K$4:$P$4)</f>
        <v>5.2145399768490962E-3</v>
      </c>
      <c r="E24">
        <f t="shared" si="3"/>
        <v>-45.655679974195593</v>
      </c>
      <c r="F24">
        <f t="shared" si="5"/>
        <v>12.974008616828129</v>
      </c>
    </row>
    <row r="25" spans="2:6" x14ac:dyDescent="0.2">
      <c r="B25">
        <v>22</v>
      </c>
      <c r="C25" s="2">
        <f t="shared" si="4"/>
        <v>0.84000000000100017</v>
      </c>
      <c r="D25" s="3" cm="1">
        <f t="array" ref="D25">(sinc(SUM((C25^$H$2:$J$2)*$H$4:$J$4))^2)^SUM((C25^$K$2:$P$2)*$K$4:$P$4)</f>
        <v>1.9431279880407302E-4</v>
      </c>
      <c r="E25">
        <f t="shared" si="3"/>
        <v>-74.229971855536959</v>
      </c>
      <c r="F25">
        <f t="shared" si="5"/>
        <v>28.574291881341367</v>
      </c>
    </row>
    <row r="26" spans="2:6" x14ac:dyDescent="0.2">
      <c r="B26">
        <v>23</v>
      </c>
      <c r="C26" s="2">
        <f t="shared" si="4"/>
        <v>0.8800000000010002</v>
      </c>
      <c r="D26" s="3" cm="1">
        <f t="array" ref="D26">(sinc(SUM((C26^$H$2:$J$2)*$H$4:$J$4))^2)^SUM((C26^$K$2:$P$2)*$K$4:$P$4)</f>
        <v>4.488463472426321E-3</v>
      </c>
      <c r="E26">
        <f t="shared" si="3"/>
        <v>-46.958046095979157</v>
      </c>
      <c r="F26">
        <f t="shared" si="5"/>
        <v>27.271925759557803</v>
      </c>
    </row>
    <row r="27" spans="2:6" x14ac:dyDescent="0.2">
      <c r="B27">
        <v>24</v>
      </c>
      <c r="C27" s="2">
        <f t="shared" si="4"/>
        <v>0.92000000000100024</v>
      </c>
      <c r="D27" s="3" cm="1">
        <f t="array" ref="D27">(sinc(SUM((C27^$H$2:$J$2)*$H$4:$J$4))^2)^SUM((C27^$K$2:$P$2)*$K$4:$P$4)</f>
        <v>1.0199699917208021E-2</v>
      </c>
      <c r="E27">
        <f t="shared" si="3"/>
        <v>-39.82825210636512</v>
      </c>
      <c r="F27">
        <f t="shared" si="5"/>
        <v>7.1297939896140363</v>
      </c>
    </row>
    <row r="28" spans="2:6" x14ac:dyDescent="0.2">
      <c r="B28">
        <v>25</v>
      </c>
      <c r="C28" s="2">
        <f t="shared" si="4"/>
        <v>0.96000000000100028</v>
      </c>
      <c r="D28" s="3" cm="1">
        <f t="array" ref="D28">(sinc(SUM((C28^$H$2:$J$2)*$H$4:$J$4))^2)^SUM((C28^$K$2:$P$2)*$K$4:$P$4)</f>
        <v>1.5749128053425428E-2</v>
      </c>
      <c r="E28">
        <f t="shared" si="3"/>
        <v>-36.054869716304708</v>
      </c>
      <c r="F28">
        <f t="shared" si="5"/>
        <v>3.7733823900604122</v>
      </c>
    </row>
    <row r="29" spans="2:6" x14ac:dyDescent="0.2">
      <c r="B29">
        <v>26</v>
      </c>
      <c r="C29" s="2">
        <f t="shared" si="4"/>
        <v>1.0000000000010003</v>
      </c>
      <c r="D29" s="3" cm="1">
        <f t="array" ref="D29">(sinc(SUM((C29^$H$2:$J$2)*$H$4:$J$4))^2)^SUM((C29^$K$2:$P$2)*$K$4:$P$4)</f>
        <v>2.0505941286651126E-2</v>
      </c>
      <c r="E29">
        <f t="shared" si="3"/>
        <v>-33.762405808958036</v>
      </c>
      <c r="F29">
        <f t="shared" si="5"/>
        <v>2.2924639073466722</v>
      </c>
    </row>
    <row r="30" spans="2:6" x14ac:dyDescent="0.2">
      <c r="B30">
        <v>27</v>
      </c>
      <c r="C30" s="2">
        <f t="shared" si="4"/>
        <v>1.0400000000010003</v>
      </c>
      <c r="D30" s="3" cm="1">
        <f t="array" ref="D30">(sinc(SUM((C30^$H$2:$J$2)*$H$4:$J$4))^2)^SUM((C30^$K$2:$P$2)*$K$4:$P$4)</f>
        <v>2.4130142945973553E-2</v>
      </c>
      <c r="E30">
        <f t="shared" si="3"/>
        <v>-32.348802106819193</v>
      </c>
      <c r="F30">
        <f t="shared" si="5"/>
        <v>1.4136037021388432</v>
      </c>
    </row>
    <row r="31" spans="2:6" x14ac:dyDescent="0.2">
      <c r="B31">
        <v>28</v>
      </c>
      <c r="C31" s="2">
        <f t="shared" si="4"/>
        <v>1.0800000000010004</v>
      </c>
      <c r="D31" s="3" cm="1">
        <f t="array" ref="D31">(sinc(SUM((C31^$H$2:$J$2)*$H$4:$J$4))^2)^SUM((C31^$K$2:$P$2)*$K$4:$P$4)</f>
        <v>2.6436103810501235E-2</v>
      </c>
      <c r="E31">
        <f t="shared" si="3"/>
        <v>-31.556051027816586</v>
      </c>
      <c r="F31">
        <f t="shared" si="5"/>
        <v>0.79275107900260622</v>
      </c>
    </row>
    <row r="32" spans="2:6" x14ac:dyDescent="0.2">
      <c r="B32">
        <v>29</v>
      </c>
      <c r="C32" s="2">
        <f t="shared" si="4"/>
        <v>1.1200000000010004</v>
      </c>
      <c r="D32" s="3" cm="1">
        <f t="array" ref="D32">(sinc(SUM((C32^$H$2:$J$2)*$H$4:$J$4))^2)^SUM((C32^$K$2:$P$2)*$K$4:$P$4)</f>
        <v>2.7354743423569212E-2</v>
      </c>
      <c r="E32">
        <f t="shared" si="3"/>
        <v>-31.259347087480307</v>
      </c>
      <c r="F32">
        <f t="shared" si="5"/>
        <v>0.296703940336279</v>
      </c>
    </row>
    <row r="33" spans="2:6" x14ac:dyDescent="0.2">
      <c r="B33">
        <v>30</v>
      </c>
      <c r="C33" s="2">
        <f t="shared" si="4"/>
        <v>1.1600000000010005</v>
      </c>
      <c r="D33" s="3" cm="1">
        <f t="array" ref="D33">(sinc(SUM((C33^$H$2:$J$2)*$H$4:$J$4))^2)^SUM((C33^$K$2:$P$2)*$K$4:$P$4)</f>
        <v>2.692287095108517E-2</v>
      </c>
      <c r="E33">
        <f t="shared" si="3"/>
        <v>-31.397572609813569</v>
      </c>
      <c r="F33">
        <f t="shared" si="5"/>
        <v>0.13822552233326135</v>
      </c>
    </row>
    <row r="34" spans="2:6" x14ac:dyDescent="0.2">
      <c r="B34">
        <v>31</v>
      </c>
      <c r="C34" s="2">
        <f t="shared" si="4"/>
        <v>1.2000000000010005</v>
      </c>
      <c r="D34" s="3" cm="1">
        <f t="array" ref="D34">(sinc(SUM((C34^$H$2:$J$2)*$H$4:$J$4))^2)^SUM((C34^$K$2:$P$2)*$K$4:$P$4)</f>
        <v>2.5277284091813682E-2</v>
      </c>
      <c r="E34">
        <f t="shared" si="3"/>
        <v>-31.945391809772548</v>
      </c>
      <c r="F34">
        <f t="shared" si="5"/>
        <v>0.54781919995897965</v>
      </c>
    </row>
    <row r="35" spans="2:6" x14ac:dyDescent="0.2">
      <c r="B35">
        <v>32</v>
      </c>
      <c r="C35" s="2">
        <f t="shared" si="4"/>
        <v>1.2400000000010005</v>
      </c>
      <c r="D35" s="3" cm="1">
        <f t="array" ref="D35">(sinc(SUM((C35^$H$2:$J$2)*$H$4:$J$4))^2)^SUM((C35^$K$2:$P$2)*$K$4:$P$4)</f>
        <v>2.2644124591683645E-2</v>
      </c>
      <c r="E35">
        <f t="shared" si="3"/>
        <v>-32.900889284429468</v>
      </c>
      <c r="F35">
        <f t="shared" si="5"/>
        <v>0.95549747465691937</v>
      </c>
    </row>
    <row r="36" spans="2:6" x14ac:dyDescent="0.2">
      <c r="B36">
        <v>33</v>
      </c>
      <c r="C36" s="2">
        <f t="shared" si="4"/>
        <v>1.2800000000010006</v>
      </c>
      <c r="D36" s="3" cm="1">
        <f t="array" ref="D36">(sinc(SUM((C36^$H$2:$J$2)*$H$4:$J$4))^2)^SUM((C36^$K$2:$P$2)*$K$4:$P$4)</f>
        <v>1.9319224978455663E-2</v>
      </c>
      <c r="E36">
        <f t="shared" si="3"/>
        <v>-34.280205999747302</v>
      </c>
      <c r="F36">
        <f t="shared" si="5"/>
        <v>1.3793167153178345</v>
      </c>
    </row>
    <row r="37" spans="2:6" x14ac:dyDescent="0.2">
      <c r="B37">
        <v>34</v>
      </c>
      <c r="C37" s="2">
        <f t="shared" si="4"/>
        <v>1.3200000000010006</v>
      </c>
      <c r="D37" s="3" cm="1">
        <f t="array" ref="D37">(sinc(SUM((C37^$H$2:$J$2)*$H$4:$J$4))^2)^SUM((C37^$K$2:$P$2)*$K$4:$P$4)</f>
        <v>1.5638602374093338E-2</v>
      </c>
      <c r="E37">
        <f t="shared" si="3"/>
        <v>-36.116041251023738</v>
      </c>
      <c r="F37">
        <f t="shared" si="5"/>
        <v>1.8358352512764355</v>
      </c>
    </row>
    <row r="38" spans="2:6" x14ac:dyDescent="0.2">
      <c r="B38">
        <v>35</v>
      </c>
      <c r="C38" s="2">
        <f t="shared" si="4"/>
        <v>1.3600000000010006</v>
      </c>
      <c r="D38" s="3" cm="1">
        <f t="array" ref="D38">(sinc(SUM((C38^$H$2:$J$2)*$H$4:$J$4))^2)^SUM((C38^$K$2:$P$2)*$K$4:$P$4)</f>
        <v>1.1941263113516917E-2</v>
      </c>
      <c r="E38">
        <f t="shared" si="3"/>
        <v>-38.458994646349666</v>
      </c>
      <c r="F38">
        <f t="shared" si="5"/>
        <v>2.3429533953259281</v>
      </c>
    </row>
    <row r="39" spans="2:6" x14ac:dyDescent="0.2">
      <c r="B39">
        <v>36</v>
      </c>
      <c r="C39" s="2">
        <f t="shared" si="4"/>
        <v>1.4000000000010007</v>
      </c>
      <c r="D39" s="3" cm="1">
        <f t="array" ref="D39">(sinc(SUM((C39^$H$2:$J$2)*$H$4:$J$4))^2)^SUM((C39^$K$2:$P$2)*$K$4:$P$4)</f>
        <v>8.529159863334513E-3</v>
      </c>
      <c r="E39">
        <f t="shared" si="3"/>
        <v>-41.381874909327784</v>
      </c>
      <c r="F39">
        <f t="shared" si="5"/>
        <v>2.9228802629781185</v>
      </c>
    </row>
    <row r="40" spans="2:6" x14ac:dyDescent="0.2">
      <c r="B40">
        <v>37</v>
      </c>
      <c r="C40" s="2">
        <f t="shared" si="4"/>
        <v>1.4400000000010007</v>
      </c>
      <c r="D40" s="3" cm="1">
        <f t="array" ref="D40">(sinc(SUM((C40^$H$2:$J$2)*$H$4:$J$4))^2)^SUM((C40^$K$2:$P$2)*$K$4:$P$4)</f>
        <v>5.6310477605780477E-3</v>
      </c>
      <c r="E40">
        <f t="shared" si="3"/>
        <v>-44.98821578218876</v>
      </c>
      <c r="F40">
        <f t="shared" si="5"/>
        <v>3.6063408728609758</v>
      </c>
    </row>
    <row r="41" spans="2:6" x14ac:dyDescent="0.2">
      <c r="B41">
        <v>38</v>
      </c>
      <c r="C41" s="2">
        <f t="shared" si="4"/>
        <v>1.4800000000010007</v>
      </c>
      <c r="D41" s="3" cm="1">
        <f t="array" ref="D41">(sinc(SUM((C41^$H$2:$J$2)*$H$4:$J$4))^2)^SUM((C41^$K$2:$P$2)*$K$4:$P$4)</f>
        <v>3.3775013039641613E-3</v>
      </c>
      <c r="E41">
        <f t="shared" si="3"/>
        <v>-49.428089492725114</v>
      </c>
      <c r="F41">
        <f t="shared" si="5"/>
        <v>4.4398737105363537</v>
      </c>
    </row>
    <row r="42" spans="2:6" x14ac:dyDescent="0.2">
      <c r="B42">
        <v>39</v>
      </c>
      <c r="C42" s="2">
        <f t="shared" si="4"/>
        <v>1.5200000000010008</v>
      </c>
      <c r="D42" s="3" cm="1">
        <f t="array" ref="D42">(sinc(SUM((C42^$H$2:$J$2)*$H$4:$J$4))^2)^SUM((C42^$K$2:$P$2)*$K$4:$P$4)</f>
        <v>1.7929879648615125E-3</v>
      </c>
      <c r="E42">
        <f t="shared" si="3"/>
        <v>-54.92845251117437</v>
      </c>
      <c r="F42">
        <f t="shared" si="5"/>
        <v>5.5003630184492565</v>
      </c>
    </row>
    <row r="43" spans="2:6" x14ac:dyDescent="0.2">
      <c r="B43">
        <v>40</v>
      </c>
      <c r="C43" s="2">
        <f t="shared" si="4"/>
        <v>1.5600000000010008</v>
      </c>
      <c r="D43" s="3" cm="1">
        <f t="array" ref="D43">(sinc(SUM((C43^$H$2:$J$2)*$H$4:$J$4))^2)^SUM((C43^$K$2:$P$2)*$K$4:$P$4)</f>
        <v>8.0757424103853281E-4</v>
      </c>
      <c r="E43">
        <f t="shared" si="3"/>
        <v>-61.85635084145347</v>
      </c>
      <c r="F43">
        <f t="shared" si="5"/>
        <v>6.9278983302790991</v>
      </c>
    </row>
    <row r="44" spans="2:6" x14ac:dyDescent="0.2">
      <c r="B44">
        <v>41</v>
      </c>
      <c r="C44" s="2">
        <f t="shared" si="4"/>
        <v>1.6000000000010008</v>
      </c>
      <c r="D44" s="3" cm="1">
        <f t="array" ref="D44">(sinc(SUM((C44^$H$2:$J$2)*$H$4:$J$4))^2)^SUM((C44^$K$2:$P$2)*$K$4:$P$4)</f>
        <v>2.861287710537596E-4</v>
      </c>
      <c r="E44">
        <f t="shared" si="3"/>
        <v>-70.868769409315505</v>
      </c>
      <c r="F44">
        <f t="shared" si="5"/>
        <v>9.012418567862035</v>
      </c>
    </row>
    <row r="45" spans="2:6" x14ac:dyDescent="0.2">
      <c r="B45">
        <v>42</v>
      </c>
      <c r="C45" s="2">
        <f t="shared" si="4"/>
        <v>1.6400000000010009</v>
      </c>
      <c r="D45" s="3" cm="1">
        <f t="array" ref="D45">(sinc(SUM((C45^$H$2:$J$2)*$H$4:$J$4))^2)^SUM((C45^$K$2:$P$2)*$K$4:$P$4)</f>
        <v>6.8017750510502428E-5</v>
      </c>
      <c r="E45">
        <f t="shared" si="3"/>
        <v>-83.347554703882011</v>
      </c>
      <c r="F45">
        <f t="shared" si="5"/>
        <v>12.478785294566507</v>
      </c>
    </row>
    <row r="46" spans="2:6" x14ac:dyDescent="0.2">
      <c r="B46">
        <v>43</v>
      </c>
      <c r="C46" s="2">
        <f t="shared" si="4"/>
        <v>1.6800000000010009</v>
      </c>
      <c r="D46" s="3" cm="1">
        <f t="array" ref="D46">(sinc(SUM((C46^$H$2:$J$2)*$H$4:$J$4))^2)^SUM((C46^$K$2:$P$2)*$K$4:$P$4)</f>
        <v>6.9123720924085291E-6</v>
      </c>
      <c r="E46">
        <f t="shared" si="3"/>
        <v>-103.20745783728954</v>
      </c>
      <c r="F46">
        <f t="shared" si="5"/>
        <v>19.859903133407528</v>
      </c>
    </row>
    <row r="47" spans="2:6" x14ac:dyDescent="0.2">
      <c r="B47">
        <v>44</v>
      </c>
      <c r="C47" s="2">
        <f t="shared" si="4"/>
        <v>1.720000000001001</v>
      </c>
      <c r="D47" s="3" cm="1">
        <f t="array" ref="D47">(sinc(SUM((C47^$H$2:$J$2)*$H$4:$J$4))^2)^SUM((C47^$K$2:$P$2)*$K$4:$P$4)</f>
        <v>1.2472802574627613E-8</v>
      </c>
      <c r="E47">
        <f t="shared" si="3"/>
        <v>-158.08071903637494</v>
      </c>
      <c r="F47">
        <f t="shared" si="5"/>
        <v>54.873261199085405</v>
      </c>
    </row>
    <row r="48" spans="2:6" x14ac:dyDescent="0.2">
      <c r="B48">
        <v>45</v>
      </c>
      <c r="C48" s="2">
        <f t="shared" si="4"/>
        <v>1.760000000001001</v>
      </c>
      <c r="D48" s="3" cm="1">
        <f t="array" ref="D48">(sinc(SUM((C48^$H$2:$J$2)*$H$4:$J$4))^2)^SUM((C48^$K$2:$P$2)*$K$4:$P$4)</f>
        <v>7.4166524761595152E-7</v>
      </c>
      <c r="E48">
        <f t="shared" si="3"/>
        <v>-122.59584140701563</v>
      </c>
      <c r="F48">
        <f t="shared" si="5"/>
        <v>35.484877629359318</v>
      </c>
    </row>
    <row r="49" spans="2:6" x14ac:dyDescent="0.2">
      <c r="B49">
        <v>46</v>
      </c>
      <c r="C49" s="2">
        <f t="shared" si="4"/>
        <v>1.800000000001001</v>
      </c>
      <c r="D49" s="3" cm="1">
        <f t="array" ref="D49">(sinc(SUM((C49^$H$2:$J$2)*$H$4:$J$4))^2)^SUM((C49^$K$2:$P$2)*$K$4:$P$4)</f>
        <v>9.2530294246291974E-6</v>
      </c>
      <c r="E49">
        <f t="shared" si="3"/>
        <v>-100.67432113548188</v>
      </c>
      <c r="F49">
        <f t="shared" si="5"/>
        <v>21.921520271533751</v>
      </c>
    </row>
    <row r="50" spans="2:6" x14ac:dyDescent="0.2">
      <c r="B50">
        <v>47</v>
      </c>
      <c r="C50" s="2">
        <f t="shared" si="4"/>
        <v>1.8400000000010011</v>
      </c>
      <c r="D50" s="3" cm="1">
        <f t="array" ref="D50">(sinc(SUM((C50^$H$2:$J$2)*$H$4:$J$4))^2)^SUM((C50^$K$2:$P$2)*$K$4:$P$4)</f>
        <v>3.199908516450488E-5</v>
      </c>
      <c r="E50">
        <f t="shared" si="3"/>
        <v>-89.89724875465609</v>
      </c>
      <c r="F50">
        <f t="shared" si="5"/>
        <v>10.777072380825786</v>
      </c>
    </row>
    <row r="51" spans="2:6" x14ac:dyDescent="0.2">
      <c r="B51">
        <v>48</v>
      </c>
      <c r="C51" s="2">
        <f t="shared" si="4"/>
        <v>1.8800000000010011</v>
      </c>
      <c r="D51" s="3" cm="1">
        <f t="array" ref="D51">(sinc(SUM((C51^$H$2:$J$2)*$H$4:$J$4))^2)^SUM((C51^$K$2:$P$2)*$K$4:$P$4)</f>
        <v>6.8400472992444835E-5</v>
      </c>
      <c r="E51">
        <f t="shared" si="3"/>
        <v>-83.298817902060094</v>
      </c>
      <c r="F51">
        <f t="shared" si="5"/>
        <v>6.598430852595996</v>
      </c>
    </row>
    <row r="52" spans="2:6" x14ac:dyDescent="0.2">
      <c r="B52">
        <v>49</v>
      </c>
      <c r="C52" s="2">
        <f t="shared" si="4"/>
        <v>1.9200000000010011</v>
      </c>
      <c r="D52" s="3" cm="1">
        <f t="array" ref="D52">(sinc(SUM((C52^$H$2:$J$2)*$H$4:$J$4))^2)^SUM((C52^$K$2:$P$2)*$K$4:$P$4)</f>
        <v>1.1211638393115592E-4</v>
      </c>
      <c r="E52">
        <f t="shared" si="3"/>
        <v>-79.006618358097754</v>
      </c>
      <c r="F52">
        <f t="shared" si="5"/>
        <v>4.2921995439623402</v>
      </c>
    </row>
    <row r="53" spans="2:6" x14ac:dyDescent="0.2">
      <c r="B53">
        <v>50</v>
      </c>
      <c r="C53" s="2">
        <f t="shared" si="4"/>
        <v>1.9600000000010012</v>
      </c>
      <c r="D53" s="3" cm="1">
        <f t="array" ref="D53">(sinc(SUM((C53^$H$2:$J$2)*$H$4:$J$4))^2)^SUM((C53^$K$2:$P$2)*$K$4:$P$4)</f>
        <v>1.5380013952113678E-4</v>
      </c>
      <c r="E53">
        <f t="shared" si="3"/>
        <v>-76.260865411207703</v>
      </c>
      <c r="F53">
        <f t="shared" si="5"/>
        <v>2.7457529468900503</v>
      </c>
    </row>
    <row r="54" spans="2:6" x14ac:dyDescent="0.2">
      <c r="B54">
        <v>51</v>
      </c>
      <c r="C54" s="2">
        <f t="shared" si="4"/>
        <v>2.000000000001001</v>
      </c>
      <c r="D54" s="3" cm="1">
        <f t="array" ref="D54">(sinc(SUM((C54^$H$2:$J$2)*$H$4:$J$4))^2)^SUM((C54^$K$2:$P$2)*$K$4:$P$4)</f>
        <v>1.8419437854357631E-4</v>
      </c>
      <c r="E54">
        <f t="shared" si="3"/>
        <v>-74.694472564733331</v>
      </c>
      <c r="F54">
        <f t="shared" si="5"/>
        <v>1.5663928464743719</v>
      </c>
    </row>
    <row r="55" spans="2:6" x14ac:dyDescent="0.2">
      <c r="B55">
        <v>52</v>
      </c>
      <c r="C55" s="2">
        <f t="shared" si="4"/>
        <v>2.040000000001001</v>
      </c>
      <c r="D55" s="3" cm="1">
        <f t="array" ref="D55">(sinc(SUM((C55^$H$2:$J$2)*$H$4:$J$4))^2)^SUM((C55^$K$2:$P$2)*$K$4:$P$4)</f>
        <v>1.968337769001111E-4</v>
      </c>
      <c r="E55">
        <f t="shared" si="3"/>
        <v>-74.118007481646075</v>
      </c>
      <c r="F55">
        <f t="shared" si="5"/>
        <v>0.57646508308725686</v>
      </c>
    </row>
    <row r="56" spans="2:6" x14ac:dyDescent="0.2">
      <c r="B56">
        <v>53</v>
      </c>
      <c r="C56" s="2">
        <f t="shared" si="4"/>
        <v>2.080000000001001</v>
      </c>
      <c r="D56" s="3" cm="1">
        <f t="array" ref="D56">(sinc(SUM((C56^$H$2:$J$2)*$H$4:$J$4))^2)^SUM((C56^$K$2:$P$2)*$K$4:$P$4)</f>
        <v>1.8971500901398975E-4</v>
      </c>
      <c r="E56">
        <f t="shared" si="3"/>
        <v>-74.437966184113534</v>
      </c>
      <c r="F56">
        <f t="shared" si="5"/>
        <v>0.31995870246745994</v>
      </c>
    </row>
    <row r="57" spans="2:6" x14ac:dyDescent="0.2">
      <c r="B57">
        <v>54</v>
      </c>
      <c r="C57" s="2">
        <f t="shared" si="4"/>
        <v>2.1200000000010011</v>
      </c>
      <c r="D57" s="3" cm="1">
        <f t="array" ref="D57">(sinc(SUM((C57^$H$2:$J$2)*$H$4:$J$4))^2)^SUM((C57^$K$2:$P$2)*$K$4:$P$4)</f>
        <v>1.6554358793740843E-4</v>
      </c>
      <c r="E57">
        <f t="shared" si="3"/>
        <v>-75.621752725581203</v>
      </c>
      <c r="F57">
        <f t="shared" si="5"/>
        <v>1.1837865414676685</v>
      </c>
    </row>
    <row r="58" spans="2:6" x14ac:dyDescent="0.2">
      <c r="B58">
        <v>55</v>
      </c>
      <c r="C58" s="2">
        <f t="shared" si="4"/>
        <v>2.1600000000010011</v>
      </c>
      <c r="D58" s="3" cm="1">
        <f t="array" ref="D58">(sinc(SUM((C58^$H$2:$J$2)*$H$4:$J$4))^2)^SUM((C58^$K$2:$P$2)*$K$4:$P$4)</f>
        <v>1.3057349280004368E-4</v>
      </c>
      <c r="E58">
        <f t="shared" si="3"/>
        <v>-77.682899569808185</v>
      </c>
      <c r="F58">
        <f t="shared" si="5"/>
        <v>2.0611468442269825</v>
      </c>
    </row>
    <row r="59" spans="2:6" x14ac:dyDescent="0.2">
      <c r="B59">
        <v>56</v>
      </c>
      <c r="C59" s="2">
        <f t="shared" si="4"/>
        <v>2.2000000000010012</v>
      </c>
      <c r="D59" s="3" cm="1">
        <f t="array" ref="D59">(sinc(SUM((C59^$H$2:$J$2)*$H$4:$J$4))^2)^SUM((C59^$K$2:$P$2)*$K$4:$P$4)</f>
        <v>9.2497215587936181E-5</v>
      </c>
      <c r="E59">
        <f t="shared" si="3"/>
        <v>-80.677426809650768</v>
      </c>
      <c r="F59">
        <f t="shared" si="5"/>
        <v>2.9945272398425828</v>
      </c>
    </row>
    <row r="60" spans="2:6" x14ac:dyDescent="0.2">
      <c r="B60">
        <v>57</v>
      </c>
      <c r="C60" s="2">
        <f t="shared" si="4"/>
        <v>2.2400000000010012</v>
      </c>
      <c r="D60" s="3" cm="1">
        <f t="array" ref="D60">(sinc(SUM((C60^$H$2:$J$2)*$H$4:$J$4))^2)^SUM((C60^$K$2:$P$2)*$K$4:$P$4)</f>
        <v>5.8150831503360039E-5</v>
      </c>
      <c r="E60">
        <f t="shared" si="3"/>
        <v>-84.708881417596601</v>
      </c>
      <c r="F60">
        <f t="shared" si="5"/>
        <v>4.0314546079458324</v>
      </c>
    </row>
    <row r="61" spans="2:6" x14ac:dyDescent="0.2">
      <c r="B61">
        <v>58</v>
      </c>
      <c r="C61" s="2">
        <f t="shared" si="4"/>
        <v>2.2800000000010012</v>
      </c>
      <c r="D61" s="3" cm="1">
        <f t="array" ref="D61">(sinc(SUM((C61^$H$2:$J$2)*$H$4:$J$4))^2)^SUM((C61^$K$2:$P$2)*$K$4:$P$4)</f>
        <v>3.1828497457803494E-5</v>
      </c>
      <c r="E61">
        <f t="shared" si="3"/>
        <v>-89.943677256601006</v>
      </c>
      <c r="F61">
        <f t="shared" si="5"/>
        <v>5.2347958390044056</v>
      </c>
    </row>
    <row r="62" spans="2:6" x14ac:dyDescent="0.2">
      <c r="B62">
        <v>59</v>
      </c>
      <c r="C62" s="2">
        <f t="shared" si="4"/>
        <v>2.3200000000010013</v>
      </c>
      <c r="D62" s="3" cm="1">
        <f t="array" ref="D62">(sinc(SUM((C62^$H$2:$J$2)*$H$4:$J$4))^2)^SUM((C62^$K$2:$P$2)*$K$4:$P$4)</f>
        <v>1.4717122704945935E-5</v>
      </c>
      <c r="E62">
        <f t="shared" si="3"/>
        <v>-96.643541782998568</v>
      </c>
      <c r="F62">
        <f t="shared" si="5"/>
        <v>6.6998645263975618</v>
      </c>
    </row>
    <row r="63" spans="2:6" x14ac:dyDescent="0.2">
      <c r="B63">
        <v>60</v>
      </c>
      <c r="C63" s="2">
        <f t="shared" si="4"/>
        <v>2.3600000000010013</v>
      </c>
      <c r="D63" s="3" cm="1">
        <f t="array" ref="D63">(sinc(SUM((C63^$H$2:$J$2)*$H$4:$J$4))^2)^SUM((C63^$K$2:$P$2)*$K$4:$P$4)</f>
        <v>5.4744305945956279E-6</v>
      </c>
      <c r="E63">
        <f t="shared" si="3"/>
        <v>-105.23322091783052</v>
      </c>
      <c r="F63">
        <f t="shared" si="5"/>
        <v>8.5896791348319539</v>
      </c>
    </row>
    <row r="64" spans="2:6" x14ac:dyDescent="0.2">
      <c r="B64">
        <v>61</v>
      </c>
      <c r="C64" s="2">
        <f t="shared" ref="C64:C84" si="6">C63+$A$4</f>
        <v>2.4000000000010013</v>
      </c>
      <c r="D64" s="3" cm="1">
        <f t="array" ref="D64">(sinc(SUM((C64^$H$2:$J$2)*$H$4:$J$4))^2)^SUM((C64^$K$2:$P$2)*$K$4:$P$4)</f>
        <v>1.5041029498961229E-6</v>
      </c>
      <c r="E64">
        <f t="shared" si="3"/>
        <v>-116.45444873975944</v>
      </c>
      <c r="F64">
        <f t="shared" si="5"/>
        <v>11.22122782192892</v>
      </c>
    </row>
    <row r="65" spans="2:6" x14ac:dyDescent="0.2">
      <c r="B65">
        <v>62</v>
      </c>
      <c r="C65" s="2">
        <f t="shared" si="6"/>
        <v>2.4400000000010014</v>
      </c>
      <c r="D65" s="3" cm="1">
        <f t="array" ref="D65">(sinc(SUM((C65^$H$2:$J$2)*$H$4:$J$4))^2)^SUM((C65^$K$2:$P$2)*$K$4:$P$4)</f>
        <v>2.5770546056702603E-7</v>
      </c>
      <c r="E65">
        <f t="shared" si="3"/>
        <v>-131.77752758016527</v>
      </c>
      <c r="F65">
        <f t="shared" si="5"/>
        <v>15.323078840405827</v>
      </c>
    </row>
    <row r="66" spans="2:6" x14ac:dyDescent="0.2">
      <c r="B66">
        <v>63</v>
      </c>
      <c r="C66" s="2">
        <f t="shared" si="6"/>
        <v>2.4800000000010014</v>
      </c>
      <c r="D66" s="3" cm="1">
        <f t="array" ref="D66">(sinc(SUM((C66^$H$2:$J$2)*$H$4:$J$4))^2)^SUM((C66^$K$2:$P$2)*$K$4:$P$4)</f>
        <v>1.8079035516527597E-8</v>
      </c>
      <c r="E66">
        <f t="shared" si="3"/>
        <v>-154.8564948411763</v>
      </c>
      <c r="F66">
        <f t="shared" si="5"/>
        <v>23.07896726101103</v>
      </c>
    </row>
    <row r="67" spans="2:6" x14ac:dyDescent="0.2">
      <c r="B67">
        <v>64</v>
      </c>
      <c r="C67" s="2">
        <f t="shared" si="6"/>
        <v>2.5200000000010014</v>
      </c>
      <c r="D67" s="3" cm="1">
        <f t="array" ref="D67">(sinc(SUM((C67^$H$2:$J$2)*$H$4:$J$4))^2)^SUM((C67^$K$2:$P$2)*$K$4:$P$4)</f>
        <v>8.8973780554208259E-11</v>
      </c>
      <c r="E67">
        <f t="shared" si="3"/>
        <v>-201.01475911165403</v>
      </c>
      <c r="F67">
        <f t="shared" si="5"/>
        <v>46.15826427047773</v>
      </c>
    </row>
    <row r="68" spans="2:6" x14ac:dyDescent="0.2">
      <c r="B68">
        <v>65</v>
      </c>
      <c r="C68" s="2">
        <f t="shared" si="6"/>
        <v>2.5600000000010015</v>
      </c>
      <c r="D68" s="3" cm="1">
        <f t="array" ref="D68">(sinc(SUM((C68^$H$2:$J$2)*$H$4:$J$4))^2)^SUM((C68^$K$2:$P$2)*$K$4:$P$4)</f>
        <v>8.8864422795048966E-12</v>
      </c>
      <c r="E68">
        <f t="shared" si="3"/>
        <v>-221.02544151317363</v>
      </c>
      <c r="F68">
        <f t="shared" si="5"/>
        <v>20.010682401519603</v>
      </c>
    </row>
    <row r="69" spans="2:6" x14ac:dyDescent="0.2">
      <c r="B69">
        <v>66</v>
      </c>
      <c r="C69" s="2">
        <f t="shared" si="6"/>
        <v>2.6000000000010015</v>
      </c>
      <c r="D69" s="3" cm="1">
        <f t="array" ref="D69">(sinc(SUM((C69^$H$2:$J$2)*$H$4:$J$4))^2)^SUM((C69^$K$2:$P$2)*$K$4:$P$4)</f>
        <v>3.2663738290527443E-9</v>
      </c>
      <c r="E69">
        <f t="shared" ref="E69:E84" si="7">20*LOG10(D69)</f>
        <v>-169.71868225479153</v>
      </c>
      <c r="F69">
        <f t="shared" si="5"/>
        <v>51.306759258382101</v>
      </c>
    </row>
    <row r="70" spans="2:6" x14ac:dyDescent="0.2">
      <c r="B70">
        <v>67</v>
      </c>
      <c r="C70" s="2">
        <f t="shared" si="6"/>
        <v>2.6400000000010015</v>
      </c>
      <c r="D70" s="3" cm="1">
        <f t="array" ref="D70">(sinc(SUM((C70^$H$2:$J$2)*$H$4:$J$4))^2)^SUM((C70^$K$2:$P$2)*$K$4:$P$4)</f>
        <v>3.472750795991095E-8</v>
      </c>
      <c r="E70">
        <f t="shared" si="7"/>
        <v>-149.18652760939116</v>
      </c>
      <c r="F70">
        <f t="shared" ref="F70:F84" si="8">ABS(E70-E69)</f>
        <v>20.532154645400368</v>
      </c>
    </row>
    <row r="71" spans="2:6" x14ac:dyDescent="0.2">
      <c r="B71">
        <v>68</v>
      </c>
      <c r="C71" s="2">
        <f t="shared" si="6"/>
        <v>2.6800000000010016</v>
      </c>
      <c r="D71" s="3" cm="1">
        <f t="array" ref="D71">(sinc(SUM((C71^$H$2:$J$2)*$H$4:$J$4))^2)^SUM((C71^$K$2:$P$2)*$K$4:$P$4)</f>
        <v>1.3858235327963019E-7</v>
      </c>
      <c r="E71">
        <f t="shared" si="7"/>
        <v>-137.1658413629126</v>
      </c>
      <c r="F71">
        <f t="shared" si="8"/>
        <v>12.020686246478562</v>
      </c>
    </row>
    <row r="72" spans="2:6" x14ac:dyDescent="0.2">
      <c r="B72">
        <v>69</v>
      </c>
      <c r="C72" s="2">
        <f t="shared" si="6"/>
        <v>2.7200000000010016</v>
      </c>
      <c r="D72" s="3" cm="1">
        <f t="array" ref="D72">(sinc(SUM((C72^$H$2:$J$2)*$H$4:$J$4))^2)^SUM((C72^$K$2:$P$2)*$K$4:$P$4)</f>
        <v>3.3848554503366606E-7</v>
      </c>
      <c r="E72">
        <f t="shared" si="7"/>
        <v>-129.40919746106314</v>
      </c>
      <c r="F72">
        <f t="shared" si="8"/>
        <v>7.7566439018494577</v>
      </c>
    </row>
    <row r="73" spans="2:6" x14ac:dyDescent="0.2">
      <c r="B73">
        <v>70</v>
      </c>
      <c r="C73" s="2">
        <f t="shared" si="6"/>
        <v>2.7600000000010017</v>
      </c>
      <c r="D73" s="3" cm="1">
        <f t="array" ref="D73">(sinc(SUM((C73^$H$2:$J$2)*$H$4:$J$4))^2)^SUM((C73^$K$2:$P$2)*$K$4:$P$4)</f>
        <v>6.0471575671563833E-7</v>
      </c>
      <c r="E73">
        <f t="shared" si="7"/>
        <v>-124.36897430191785</v>
      </c>
      <c r="F73">
        <f t="shared" si="8"/>
        <v>5.0402231591452988</v>
      </c>
    </row>
    <row r="74" spans="2:6" x14ac:dyDescent="0.2">
      <c r="B74">
        <v>71</v>
      </c>
      <c r="C74" s="2">
        <f t="shared" si="6"/>
        <v>2.8000000000010017</v>
      </c>
      <c r="D74" s="3" cm="1">
        <f t="array" ref="D74">(sinc(SUM((C74^$H$2:$J$2)*$H$4:$J$4))^2)^SUM((C74^$K$2:$P$2)*$K$4:$P$4)</f>
        <v>8.5768315913631075E-7</v>
      </c>
      <c r="E74">
        <f t="shared" si="7"/>
        <v>-121.33346234679664</v>
      </c>
      <c r="F74">
        <f t="shared" si="8"/>
        <v>3.0355119551212084</v>
      </c>
    </row>
    <row r="75" spans="2:6" x14ac:dyDescent="0.2">
      <c r="B75">
        <v>72</v>
      </c>
      <c r="C75" s="2">
        <f t="shared" si="6"/>
        <v>2.8400000000010017</v>
      </c>
      <c r="D75" s="3" cm="1">
        <f t="array" ref="D75">(sinc(SUM((C75^$H$2:$J$2)*$H$4:$J$4))^2)^SUM((C75^$K$2:$P$2)*$K$4:$P$4)</f>
        <v>1.0065948735122438E-6</v>
      </c>
      <c r="E75">
        <f t="shared" si="7"/>
        <v>-119.94290571503853</v>
      </c>
      <c r="F75">
        <f t="shared" si="8"/>
        <v>1.390556631758102</v>
      </c>
    </row>
    <row r="76" spans="2:6" x14ac:dyDescent="0.2">
      <c r="B76">
        <v>73</v>
      </c>
      <c r="C76" s="2">
        <f t="shared" si="6"/>
        <v>2.8800000000010018</v>
      </c>
      <c r="D76" s="3" cm="1">
        <f t="array" ref="D76">(sinc(SUM((C76^$H$2:$J$2)*$H$4:$J$4))^2)^SUM((C76^$K$2:$P$2)*$K$4:$P$4)</f>
        <v>9.9777540670529547E-7</v>
      </c>
      <c r="E76">
        <f t="shared" si="7"/>
        <v>-120.01934409620716</v>
      </c>
      <c r="F76">
        <f t="shared" si="8"/>
        <v>7.6438381168628666E-2</v>
      </c>
    </row>
    <row r="77" spans="2:6" x14ac:dyDescent="0.2">
      <c r="B77">
        <v>74</v>
      </c>
      <c r="C77" s="2">
        <f t="shared" si="6"/>
        <v>2.9200000000010018</v>
      </c>
      <c r="D77" s="3" cm="1">
        <f t="array" ref="D77">(sinc(SUM((C77^$H$2:$J$2)*$H$4:$J$4))^2)^SUM((C77^$K$2:$P$2)*$K$4:$P$4)</f>
        <v>8.4162920034730697E-7</v>
      </c>
      <c r="E77">
        <f t="shared" si="7"/>
        <v>-121.49758410140869</v>
      </c>
      <c r="F77">
        <f t="shared" si="8"/>
        <v>1.4782400052015277</v>
      </c>
    </row>
    <row r="78" spans="2:6" x14ac:dyDescent="0.2">
      <c r="B78">
        <v>75</v>
      </c>
      <c r="C78" s="2">
        <f t="shared" si="6"/>
        <v>2.9600000000010018</v>
      </c>
      <c r="D78" s="3" cm="1">
        <f t="array" ref="D78">(sinc(SUM((C78^$H$2:$J$2)*$H$4:$J$4))^2)^SUM((C78^$K$2:$P$2)*$K$4:$P$4)</f>
        <v>6.0269721959941762E-7</v>
      </c>
      <c r="E78">
        <f t="shared" si="7"/>
        <v>-124.39801624083972</v>
      </c>
      <c r="F78">
        <f t="shared" si="8"/>
        <v>2.9004321394310324</v>
      </c>
    </row>
    <row r="79" spans="2:6" x14ac:dyDescent="0.2">
      <c r="B79">
        <v>76</v>
      </c>
      <c r="C79" s="2">
        <f t="shared" si="6"/>
        <v>3.0000000000010019</v>
      </c>
      <c r="D79" s="3" cm="1">
        <f t="array" ref="D79">(sinc(SUM((C79^$H$2:$J$2)*$H$4:$J$4))^2)^SUM((C79^$K$2:$P$2)*$K$4:$P$4)</f>
        <v>3.6213638853016857E-7</v>
      </c>
      <c r="E79">
        <f t="shared" si="7"/>
        <v>-128.82255667605153</v>
      </c>
      <c r="F79">
        <f t="shared" si="8"/>
        <v>4.4245404352118101</v>
      </c>
    </row>
    <row r="80" spans="2:6" x14ac:dyDescent="0.2">
      <c r="B80">
        <v>77</v>
      </c>
      <c r="C80" s="2">
        <f t="shared" si="6"/>
        <v>3.0400000000010019</v>
      </c>
      <c r="D80" s="3" cm="1">
        <f t="array" ref="D80">(sinc(SUM((C80^$H$2:$J$2)*$H$4:$J$4))^2)^SUM((C80^$K$2:$P$2)*$K$4:$P$4)</f>
        <v>1.784374132675886E-7</v>
      </c>
      <c r="E80">
        <f t="shared" si="7"/>
        <v>-134.97028162339828</v>
      </c>
      <c r="F80">
        <f t="shared" si="8"/>
        <v>6.1477249473467452</v>
      </c>
    </row>
    <row r="81" spans="2:6" x14ac:dyDescent="0.2">
      <c r="B81">
        <v>78</v>
      </c>
      <c r="C81" s="2">
        <f t="shared" si="6"/>
        <v>3.0800000000010019</v>
      </c>
      <c r="D81" s="3" cm="1">
        <f t="array" ref="D81">(sinc(SUM((C81^$H$2:$J$2)*$H$4:$J$4))^2)^SUM((C81^$K$2:$P$2)*$K$4:$P$4)</f>
        <v>6.9340154392015213E-8</v>
      </c>
      <c r="E81">
        <f t="shared" si="7"/>
        <v>-143.18030391366582</v>
      </c>
      <c r="F81">
        <f t="shared" si="8"/>
        <v>8.2100222902675455</v>
      </c>
    </row>
    <row r="82" spans="2:6" x14ac:dyDescent="0.2">
      <c r="B82">
        <v>79</v>
      </c>
      <c r="C82" s="2">
        <f t="shared" si="6"/>
        <v>3.120000000001002</v>
      </c>
      <c r="D82" s="3" cm="1">
        <f t="array" ref="D82">(sinc(SUM((C82^$H$2:$J$2)*$H$4:$J$4))^2)^SUM((C82^$K$2:$P$2)*$K$4:$P$4)</f>
        <v>1.9888520704008982E-8</v>
      </c>
      <c r="E82">
        <f t="shared" si="7"/>
        <v>-154.0279503646384</v>
      </c>
      <c r="F82">
        <f t="shared" si="8"/>
        <v>10.847646450972576</v>
      </c>
    </row>
    <row r="83" spans="2:6" x14ac:dyDescent="0.2">
      <c r="B83">
        <v>80</v>
      </c>
      <c r="C83" s="2">
        <f t="shared" si="6"/>
        <v>3.160000000001002</v>
      </c>
      <c r="D83" s="3" cm="1">
        <f t="array" ref="D83">(sinc(SUM((C83^$H$2:$J$2)*$H$4:$J$4))^2)^SUM((C83^$K$2:$P$2)*$K$4:$P$4)</f>
        <v>3.7358778488562039E-9</v>
      </c>
      <c r="E83">
        <f t="shared" si="7"/>
        <v>-168.55214664474346</v>
      </c>
      <c r="F83">
        <f t="shared" si="8"/>
        <v>14.524196280105059</v>
      </c>
    </row>
    <row r="84" spans="2:6" x14ac:dyDescent="0.2">
      <c r="B84">
        <v>81</v>
      </c>
      <c r="C84" s="2">
        <f t="shared" si="6"/>
        <v>3.200000000001002</v>
      </c>
      <c r="D84" s="3" cm="1">
        <f t="array" ref="D84">(sinc(SUM((C84^$H$2:$J$2)*$H$4:$J$4))^2)^SUM((C84^$K$2:$P$2)*$K$4:$P$4)</f>
        <v>3.594168581484685E-10</v>
      </c>
      <c r="E84">
        <f t="shared" si="7"/>
        <v>-188.88803113056483</v>
      </c>
      <c r="F84">
        <f t="shared" si="8"/>
        <v>20.335884485821367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Leif Hille</dc:creator>
  <cp:lastModifiedBy>Leif Hille</cp:lastModifiedBy>
  <dcterms:created xsi:type="dcterms:W3CDTF">2023-11-28T14:36:43Z</dcterms:created>
  <dcterms:modified xsi:type="dcterms:W3CDTF">2023-11-30T12:29:36Z</dcterms:modified>
</cp:coreProperties>
</file>